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ween R1 and S1" sheetId="1" state="visible" r:id="rId1"/>
    <sheet name="Below S3" sheetId="2" state="visible" r:id="rId2"/>
    <sheet name="Between S2 and S3" sheetId="3" state="visible" r:id="rId3"/>
    <sheet name="Between R2 and R3" sheetId="4" state="visible" r:id="rId4"/>
    <sheet name="Above R3" sheetId="5" state="visible" r:id="rId5"/>
    <sheet name="Between S1 and S2" sheetId="6" state="visible" r:id="rId6"/>
    <sheet name="Between R1 and R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realized_pnl_pct</t>
        </is>
      </c>
      <c r="O1" s="1" t="inlineStr">
        <is>
          <t>trade_status_reason</t>
        </is>
      </c>
      <c r="P1" s="1" t="inlineStr">
        <is>
          <t>market_sentiment</t>
        </is>
      </c>
      <c r="Q1" s="1" t="inlineStr">
        <is>
          <t>filter_status</t>
        </is>
      </c>
      <c r="R1" s="1" t="inlineStr">
        <is>
          <t>sentiment_pnl</t>
        </is>
      </c>
      <c r="S1" s="1" t="inlineStr">
        <is>
          <t>exit_reason</t>
        </is>
      </c>
      <c r="T1" s="1" t="inlineStr">
        <is>
          <t>demarker</t>
        </is>
      </c>
      <c r="U1" s="1" t="inlineStr">
        <is>
          <t>demarker_at_7pct</t>
        </is>
      </c>
      <c r="V1" s="1" t="inlineStr">
        <is>
          <t>date</t>
        </is>
      </c>
      <c r="W1" s="1" t="inlineStr">
        <is>
          <t>zone</t>
        </is>
      </c>
      <c r="X1" s="1" t="inlineStr">
        <is>
          <t>nifty_at_entry</t>
        </is>
      </c>
      <c r="Y1" s="1" t="inlineStr">
        <is>
          <t>R1</t>
        </is>
      </c>
      <c r="Z1" s="1" t="inlineStr">
        <is>
          <t>S1</t>
        </is>
      </c>
      <c r="AA1" s="1" t="inlineStr">
        <is>
          <t>R2</t>
        </is>
      </c>
      <c r="AB1" s="1" t="inlineStr">
        <is>
          <t>S2</t>
        </is>
      </c>
      <c r="AC1" s="1" t="inlineStr">
        <is>
          <t>R3</t>
        </is>
      </c>
      <c r="AD1" s="1" t="inlineStr">
        <is>
          <t>S3</t>
        </is>
      </c>
    </row>
    <row r="2">
      <c r="A2">
        <f>HYPERLINK("../../data/DEC02_DYNAMIC/NOV27/OTM/NIFTY25D0226200PE_strategy.csv", "NIFTY25D0226200PE")</f>
        <v/>
      </c>
      <c r="B2" t="inlineStr">
        <is>
          <t>PE</t>
        </is>
      </c>
      <c r="C2" t="inlineStr">
        <is>
          <t>15:09:01</t>
        </is>
      </c>
      <c r="D2" t="inlineStr">
        <is>
          <t>15:14:00</t>
        </is>
      </c>
      <c r="E2" t="n">
        <v>94.95</v>
      </c>
      <c r="F2" t="n">
        <v>89.34999999999999</v>
      </c>
      <c r="G2" t="n">
        <v>98099.48</v>
      </c>
      <c r="H2" t="n">
        <v>114439.55</v>
      </c>
      <c r="I2" t="n">
        <v>80107.69</v>
      </c>
      <c r="J2" t="inlineStr">
        <is>
          <t>EXECUTED</t>
        </is>
      </c>
      <c r="K2" t="n">
        <v>0</v>
      </c>
      <c r="L2" t="n">
        <v>-6</v>
      </c>
      <c r="M2">
        <f>HYPERLINK("../../data/DEC02_DYNAMIC/NOV27/OTM/NIFTY25D0226200PE_strategy.html", "View")</f>
        <v/>
      </c>
      <c r="N2" t="inlineStr"/>
      <c r="O2" t="inlineStr"/>
      <c r="P2" t="inlineStr">
        <is>
          <t>NEUTRAL</t>
        </is>
      </c>
      <c r="Q2" t="inlineStr">
        <is>
          <t>INCLUDED</t>
        </is>
      </c>
      <c r="R2" t="n">
        <v>-5.9</v>
      </c>
      <c r="S2" t="inlineStr">
        <is>
          <t>EOD Exit</t>
        </is>
      </c>
      <c r="T2" t="n">
        <v>0.2937</v>
      </c>
      <c r="U2" t="inlineStr"/>
      <c r="V2" t="inlineStr">
        <is>
          <t>2025-11-27</t>
        </is>
      </c>
      <c r="W2" t="inlineStr">
        <is>
          <t>Between R1 and S1</t>
        </is>
      </c>
      <c r="X2" t="n">
        <v>26212.8</v>
      </c>
      <c r="Y2" t="n">
        <v>26332.65</v>
      </c>
      <c r="Z2" t="n">
        <v>25960.45</v>
      </c>
      <c r="AA2" t="n">
        <v>26460</v>
      </c>
      <c r="AB2" t="n">
        <v>25715.6</v>
      </c>
      <c r="AC2" t="n">
        <v>26704.85</v>
      </c>
      <c r="AD2" t="n">
        <v>25588.25</v>
      </c>
    </row>
    <row r="3">
      <c r="A3">
        <f>HYPERLINK("../../data/DEC02_DYNAMIC/NOV27/OTM/NIFTY25D0226200CE_strategy.csv", "NIFTY25D0226200CE")</f>
        <v/>
      </c>
      <c r="B3" t="inlineStr">
        <is>
          <t>CE</t>
        </is>
      </c>
      <c r="C3" t="inlineStr">
        <is>
          <t>15:02:01</t>
        </is>
      </c>
      <c r="D3" t="inlineStr">
        <is>
          <t>15:14:00</t>
        </is>
      </c>
      <c r="E3" t="n">
        <v>128.1</v>
      </c>
      <c r="F3" t="n">
        <v>129.1</v>
      </c>
      <c r="G3" t="n">
        <v>104250.24</v>
      </c>
      <c r="H3" t="n">
        <v>114439.55</v>
      </c>
      <c r="I3" t="n">
        <v>80107.69</v>
      </c>
      <c r="J3" t="inlineStr">
        <is>
          <t>EXECUTED</t>
        </is>
      </c>
      <c r="K3" t="n">
        <v>7.34</v>
      </c>
      <c r="L3" t="n">
        <v>-13.19</v>
      </c>
      <c r="M3">
        <f>HYPERLINK("../../data/DEC02_DYNAMIC/NOV27/OTM/NIFTY25D0226200CE_strategy.html", "View")</f>
        <v/>
      </c>
      <c r="N3" t="inlineStr"/>
      <c r="O3" t="inlineStr"/>
      <c r="P3" t="inlineStr">
        <is>
          <t>NEUTRAL</t>
        </is>
      </c>
      <c r="Q3" t="inlineStr">
        <is>
          <t>INCLUDED</t>
        </is>
      </c>
      <c r="R3" t="n">
        <v>0.78</v>
      </c>
      <c r="S3" t="inlineStr">
        <is>
          <t>EOD Exit</t>
        </is>
      </c>
      <c r="T3" t="n">
        <v>0.5921</v>
      </c>
      <c r="U3" t="n">
        <v>0.622</v>
      </c>
      <c r="V3" t="inlineStr">
        <is>
          <t>2025-11-27</t>
        </is>
      </c>
      <c r="W3" t="inlineStr">
        <is>
          <t>Between R1 and S1</t>
        </is>
      </c>
      <c r="X3" t="n">
        <v>26222.05</v>
      </c>
      <c r="Y3" t="n">
        <v>26332.65</v>
      </c>
      <c r="Z3" t="n">
        <v>25960.45</v>
      </c>
      <c r="AA3" t="n">
        <v>26460</v>
      </c>
      <c r="AB3" t="n">
        <v>25715.6</v>
      </c>
      <c r="AC3" t="n">
        <v>26704.85</v>
      </c>
      <c r="AD3" t="n">
        <v>25588.25</v>
      </c>
    </row>
    <row r="4">
      <c r="A4">
        <f>HYPERLINK("../../data/DEC02_DYNAMIC/NOV27/OTM/NIFTY25D0226150PE_strategy.csv", "NIFTY25D0226150PE")</f>
        <v/>
      </c>
      <c r="B4" t="inlineStr">
        <is>
          <t>PE</t>
        </is>
      </c>
      <c r="C4" t="inlineStr">
        <is>
          <t>14:43:01</t>
        </is>
      </c>
      <c r="D4" t="inlineStr">
        <is>
          <t>15:01:00</t>
        </is>
      </c>
      <c r="E4" t="n">
        <v>78.15000000000001</v>
      </c>
      <c r="F4" t="n">
        <v>76.20999999999999</v>
      </c>
      <c r="G4" t="n">
        <v>103443.38</v>
      </c>
      <c r="H4" t="n">
        <v>114439.55</v>
      </c>
      <c r="I4" t="n">
        <v>80107.69</v>
      </c>
      <c r="J4" t="inlineStr">
        <is>
          <t>EXECUTED</t>
        </is>
      </c>
      <c r="K4" t="n">
        <v>15.74</v>
      </c>
      <c r="L4" t="n">
        <v>-8.640000000000001</v>
      </c>
      <c r="M4">
        <f>HYPERLINK("../../data/DEC02_DYNAMIC/NOV27/OTM/NIFTY25D0226150PE_strategy.html", "View")</f>
        <v/>
      </c>
      <c r="N4" t="inlineStr"/>
      <c r="O4" t="inlineStr"/>
      <c r="P4" t="inlineStr">
        <is>
          <t>NEUTRAL</t>
        </is>
      </c>
      <c r="Q4" t="inlineStr">
        <is>
          <t>INCLUDED</t>
        </is>
      </c>
      <c r="R4" t="n">
        <v>-2.48</v>
      </c>
      <c r="S4" t="inlineStr">
        <is>
          <t>SuperTrend Stop Loss Exit</t>
        </is>
      </c>
      <c r="T4" t="n">
        <v>0.609</v>
      </c>
      <c r="U4" t="n">
        <v>0.8667</v>
      </c>
      <c r="V4" t="inlineStr">
        <is>
          <t>2025-11-27</t>
        </is>
      </c>
      <c r="W4" t="inlineStr">
        <is>
          <t>Between R1 and S1</t>
        </is>
      </c>
      <c r="X4" t="n">
        <v>26200.6</v>
      </c>
      <c r="Y4" t="n">
        <v>26332.65</v>
      </c>
      <c r="Z4" t="n">
        <v>25960.45</v>
      </c>
      <c r="AA4" t="n">
        <v>26460</v>
      </c>
      <c r="AB4" t="n">
        <v>25715.6</v>
      </c>
      <c r="AC4" t="n">
        <v>26704.85</v>
      </c>
      <c r="AD4" t="n">
        <v>25588.25</v>
      </c>
    </row>
    <row r="5">
      <c r="A5">
        <f>HYPERLINK("../../data/DEC02_DYNAMIC/NOV27/OTM/NIFTY25D0226150PE_strategy.csv", "NIFTY25D0226150PE")</f>
        <v/>
      </c>
      <c r="B5" t="inlineStr">
        <is>
          <t>PE</t>
        </is>
      </c>
      <c r="C5" t="inlineStr">
        <is>
          <t>14:23:01</t>
        </is>
      </c>
      <c r="D5" t="inlineStr">
        <is>
          <t>14:23:00</t>
        </is>
      </c>
      <c r="E5" t="n">
        <v>82.5</v>
      </c>
      <c r="F5" t="n">
        <v>83.12</v>
      </c>
      <c r="G5" t="n">
        <v>106074.02</v>
      </c>
      <c r="H5" t="n">
        <v>114439.55</v>
      </c>
      <c r="I5" t="n">
        <v>80107.69</v>
      </c>
      <c r="J5" t="inlineStr">
        <is>
          <t>EXECUTED</t>
        </is>
      </c>
      <c r="K5" t="inlineStr"/>
      <c r="L5" t="n">
        <v>-4.36</v>
      </c>
      <c r="M5">
        <f>HYPERLINK("../../data/DEC02_DYNAMIC/NOV27/OTM/NIFTY25D0226150PE_strategy.html", "View")</f>
        <v/>
      </c>
      <c r="N5" t="inlineStr"/>
      <c r="O5" t="inlineStr"/>
      <c r="P5" t="inlineStr">
        <is>
          <t>NEUTRAL</t>
        </is>
      </c>
      <c r="Q5" t="inlineStr">
        <is>
          <t>INCLUDED</t>
        </is>
      </c>
      <c r="R5" t="n">
        <v>0.75</v>
      </c>
      <c r="S5" t="inlineStr">
        <is>
          <t>Fixed Stop Loss</t>
        </is>
      </c>
      <c r="T5" t="n">
        <v>0.4467</v>
      </c>
      <c r="U5" t="inlineStr"/>
      <c r="V5" t="inlineStr">
        <is>
          <t>2025-11-27</t>
        </is>
      </c>
      <c r="W5" t="inlineStr">
        <is>
          <t>Between R1 and S1</t>
        </is>
      </c>
      <c r="X5" t="n">
        <v>26191.75</v>
      </c>
      <c r="Y5" t="n">
        <v>26332.65</v>
      </c>
      <c r="Z5" t="n">
        <v>25960.45</v>
      </c>
      <c r="AA5" t="n">
        <v>26460</v>
      </c>
      <c r="AB5" t="n">
        <v>25715.6</v>
      </c>
      <c r="AC5" t="n">
        <v>26704.85</v>
      </c>
      <c r="AD5" t="n">
        <v>25588.25</v>
      </c>
    </row>
    <row r="6">
      <c r="A6">
        <f>HYPERLINK("../../data/DEC02_DYNAMIC/NOV27/OTM/NIFTY25D0226150PE_strategy.csv", "NIFTY25D0226150PE")</f>
        <v/>
      </c>
      <c r="B6" t="inlineStr">
        <is>
          <t>PE</t>
        </is>
      </c>
      <c r="C6" t="inlineStr">
        <is>
          <t>14:14:01</t>
        </is>
      </c>
      <c r="D6" t="inlineStr">
        <is>
          <t>14:22:00</t>
        </is>
      </c>
      <c r="E6" t="n">
        <v>86.7</v>
      </c>
      <c r="F6" t="n">
        <v>79.76000000000001</v>
      </c>
      <c r="G6" t="n">
        <v>105284.39</v>
      </c>
      <c r="H6" t="n">
        <v>114439.55</v>
      </c>
      <c r="I6" t="n">
        <v>80107.69</v>
      </c>
      <c r="J6" t="inlineStr">
        <is>
          <t>EXECUTED</t>
        </is>
      </c>
      <c r="K6" t="n">
        <v>4.96</v>
      </c>
      <c r="L6" t="n">
        <v>-9.279999999999999</v>
      </c>
      <c r="M6">
        <f>HYPERLINK("../../data/DEC02_DYNAMIC/NOV27/OTM/NIFTY25D0226150PE_strategy.html", "View")</f>
        <v/>
      </c>
      <c r="N6" t="inlineStr"/>
      <c r="O6" t="inlineStr"/>
      <c r="P6" t="inlineStr">
        <is>
          <t>NEUTRAL</t>
        </is>
      </c>
      <c r="Q6" t="inlineStr">
        <is>
          <t>INCLUDED</t>
        </is>
      </c>
      <c r="R6" t="n">
        <v>-8</v>
      </c>
      <c r="S6" t="inlineStr">
        <is>
          <t>Fixed Stop Loss</t>
        </is>
      </c>
      <c r="T6" t="n">
        <v>0.6464</v>
      </c>
      <c r="U6" t="inlineStr"/>
      <c r="V6" t="inlineStr">
        <is>
          <t>2025-11-27</t>
        </is>
      </c>
      <c r="W6" t="inlineStr">
        <is>
          <t>Between R1 and S1</t>
        </is>
      </c>
      <c r="X6" t="n">
        <v>26180.5</v>
      </c>
      <c r="Y6" t="n">
        <v>26332.65</v>
      </c>
      <c r="Z6" t="n">
        <v>25960.45</v>
      </c>
      <c r="AA6" t="n">
        <v>26460</v>
      </c>
      <c r="AB6" t="n">
        <v>25715.6</v>
      </c>
      <c r="AC6" t="n">
        <v>26704.85</v>
      </c>
      <c r="AD6" t="n">
        <v>25588.25</v>
      </c>
    </row>
    <row r="7">
      <c r="A7">
        <f>HYPERLINK("../../data/DEC02_DYNAMIC/NOV27/OTM/NIFTY25D0226200PE_strategy.csv", "NIFTY25D0226200PE")</f>
        <v/>
      </c>
      <c r="B7" t="inlineStr">
        <is>
          <t>PE</t>
        </is>
      </c>
      <c r="C7" t="inlineStr">
        <is>
          <t>13:01:01</t>
        </is>
      </c>
      <c r="D7" t="inlineStr">
        <is>
          <t>13:41:00</t>
        </is>
      </c>
      <c r="E7" t="n">
        <v>89.65000000000001</v>
      </c>
      <c r="F7" t="n">
        <v>127.45</v>
      </c>
      <c r="G7" t="n">
        <v>114439.55</v>
      </c>
      <c r="H7" t="n">
        <v>114439.55</v>
      </c>
      <c r="I7" t="n">
        <v>80107.69</v>
      </c>
      <c r="J7" t="inlineStr">
        <is>
          <t>EXECUTED</t>
        </is>
      </c>
      <c r="K7" t="n">
        <v>50.59</v>
      </c>
      <c r="L7" t="n">
        <v>-8.76</v>
      </c>
      <c r="M7">
        <f>HYPERLINK("../../data/DEC02_DYNAMIC/NOV27/OTM/NIFTY25D0226200PE_strategy.html", "View")</f>
        <v/>
      </c>
      <c r="N7" t="inlineStr"/>
      <c r="O7" t="inlineStr"/>
      <c r="P7" t="inlineStr">
        <is>
          <t>NEUTRAL</t>
        </is>
      </c>
      <c r="Q7" t="inlineStr">
        <is>
          <t>INCLUDED</t>
        </is>
      </c>
      <c r="R7" t="n">
        <v>42.16</v>
      </c>
      <c r="S7" t="inlineStr">
        <is>
          <t>Dynamic Trailing MA (Fast/Slow MA)</t>
        </is>
      </c>
      <c r="T7" t="n">
        <v>0.6321</v>
      </c>
      <c r="U7" t="n">
        <v>0.7642</v>
      </c>
      <c r="V7" t="inlineStr">
        <is>
          <t>2025-11-27</t>
        </is>
      </c>
      <c r="W7" t="inlineStr">
        <is>
          <t>Between R1 and S1</t>
        </is>
      </c>
      <c r="X7" t="n">
        <v>26227.85</v>
      </c>
      <c r="Y7" t="n">
        <v>26332.65</v>
      </c>
      <c r="Z7" t="n">
        <v>25960.45</v>
      </c>
      <c r="AA7" t="n">
        <v>26460</v>
      </c>
      <c r="AB7" t="n">
        <v>25715.6</v>
      </c>
      <c r="AC7" t="n">
        <v>26704.85</v>
      </c>
      <c r="AD7" t="n">
        <v>25588.25</v>
      </c>
    </row>
    <row r="8">
      <c r="A8">
        <f>HYPERLINK("../../data/DEC02_DYNAMIC/NOV27/OTM/NIFTY25D0226250CE_strategy.csv", "NIFTY25D0226250CE")</f>
        <v/>
      </c>
      <c r="B8" t="inlineStr">
        <is>
          <t>CE</t>
        </is>
      </c>
      <c r="C8" t="inlineStr">
        <is>
          <t>12:32:01</t>
        </is>
      </c>
      <c r="D8" t="inlineStr">
        <is>
          <t>13:00:00</t>
        </is>
      </c>
      <c r="E8" t="n">
        <v>114</v>
      </c>
      <c r="F8" t="n">
        <v>118.02</v>
      </c>
      <c r="G8" t="n">
        <v>80500.53</v>
      </c>
      <c r="H8" t="n">
        <v>104600</v>
      </c>
      <c r="I8" t="n">
        <v>73220</v>
      </c>
      <c r="J8" t="inlineStr">
        <is>
          <t>EXECUTED</t>
        </is>
      </c>
      <c r="K8" t="n">
        <v>16.49</v>
      </c>
      <c r="L8" t="n">
        <v>-8.33</v>
      </c>
      <c r="M8">
        <f>HYPERLINK("../../data/DEC02_DYNAMIC/NOV27/OTM/NIFTY25D0226250CE_strategy.html", "View")</f>
        <v/>
      </c>
      <c r="N8" t="inlineStr"/>
      <c r="O8" t="inlineStr"/>
      <c r="P8" t="inlineStr">
        <is>
          <t>NEUTRAL</t>
        </is>
      </c>
      <c r="Q8" t="inlineStr">
        <is>
          <t>INCLUDED</t>
        </is>
      </c>
      <c r="R8" t="n">
        <v>3.53</v>
      </c>
      <c r="S8" t="inlineStr">
        <is>
          <t>SuperTrend Stop Loss Exit</t>
        </is>
      </c>
      <c r="T8" t="n">
        <v>0.2641</v>
      </c>
      <c r="U8" t="n">
        <v>0.7025</v>
      </c>
      <c r="V8" t="inlineStr">
        <is>
          <t>2025-11-27</t>
        </is>
      </c>
      <c r="W8" t="inlineStr">
        <is>
          <t>Between R1 and S1</t>
        </is>
      </c>
      <c r="X8" t="n">
        <v>26223.1</v>
      </c>
      <c r="Y8" t="n">
        <v>26332.65</v>
      </c>
      <c r="Z8" t="n">
        <v>25960.45</v>
      </c>
      <c r="AA8" t="n">
        <v>26460</v>
      </c>
      <c r="AB8" t="n">
        <v>25715.6</v>
      </c>
      <c r="AC8" t="n">
        <v>26704.85</v>
      </c>
      <c r="AD8" t="n">
        <v>25588.25</v>
      </c>
    </row>
    <row r="9">
      <c r="A9">
        <f>HYPERLINK("../../data/DEC02_DYNAMIC/NOV27/OTM/NIFTY25D0226300CE_strategy.csv", "NIFTY25D0226300CE")</f>
        <v/>
      </c>
      <c r="B9" t="inlineStr">
        <is>
          <t>CE</t>
        </is>
      </c>
      <c r="C9" t="inlineStr">
        <is>
          <t>12:01:01</t>
        </is>
      </c>
      <c r="D9" t="inlineStr">
        <is>
          <t>12:02:00</t>
        </is>
      </c>
      <c r="E9" t="n">
        <v>103.65</v>
      </c>
      <c r="F9" t="n">
        <v>95.36</v>
      </c>
      <c r="G9" t="n">
        <v>77755.75</v>
      </c>
      <c r="H9" t="n">
        <v>104600</v>
      </c>
      <c r="I9" t="n">
        <v>73220</v>
      </c>
      <c r="J9" t="inlineStr">
        <is>
          <t>EXECUTED</t>
        </is>
      </c>
      <c r="K9" t="n">
        <v>0</v>
      </c>
      <c r="L9" t="n">
        <v>-11.05</v>
      </c>
      <c r="M9">
        <f>HYPERLINK("../../data/DEC02_DYNAMIC/NOV27/OTM/NIFTY25D0226300CE_strategy.html", "View")</f>
        <v/>
      </c>
      <c r="N9" t="inlineStr"/>
      <c r="O9" t="inlineStr"/>
      <c r="P9" t="inlineStr">
        <is>
          <t>BULLISH</t>
        </is>
      </c>
      <c r="Q9" t="inlineStr">
        <is>
          <t>INCLUDED (HYBRID_v5_BULLISH_CE)</t>
        </is>
      </c>
      <c r="R9" t="n">
        <v>-8</v>
      </c>
      <c r="S9" t="inlineStr">
        <is>
          <t>Fixed Stop Loss</t>
        </is>
      </c>
      <c r="T9" t="n">
        <v>0.502</v>
      </c>
      <c r="U9" t="inlineStr"/>
      <c r="V9" t="inlineStr">
        <is>
          <t>2025-11-27</t>
        </is>
      </c>
      <c r="W9" t="inlineStr">
        <is>
          <t>Between R1 and S1</t>
        </is>
      </c>
      <c r="X9" t="n">
        <v>26256.85</v>
      </c>
      <c r="Y9" t="n">
        <v>26332.65</v>
      </c>
      <c r="Z9" t="n">
        <v>25960.45</v>
      </c>
      <c r="AA9" t="n">
        <v>26460</v>
      </c>
      <c r="AB9" t="n">
        <v>25715.6</v>
      </c>
      <c r="AC9" t="n">
        <v>26704.85</v>
      </c>
      <c r="AD9" t="n">
        <v>25588.25</v>
      </c>
    </row>
    <row r="10">
      <c r="A10">
        <f>HYPERLINK("../../data/DEC02_DYNAMIC/NOV27/OTM/NIFTY25D0226300CE_strategy.csv", "NIFTY25D0226300CE")</f>
        <v/>
      </c>
      <c r="B10" t="inlineStr">
        <is>
          <t>CE</t>
        </is>
      </c>
      <c r="C10" t="inlineStr">
        <is>
          <t>11:27:01</t>
        </is>
      </c>
      <c r="D10" t="inlineStr">
        <is>
          <t>11:33:00</t>
        </is>
      </c>
      <c r="E10" t="n">
        <v>116.85</v>
      </c>
      <c r="F10" t="n">
        <v>107.5</v>
      </c>
      <c r="G10" t="n">
        <v>84517.12</v>
      </c>
      <c r="H10" t="n">
        <v>104600</v>
      </c>
      <c r="I10" t="n">
        <v>73220</v>
      </c>
      <c r="J10" t="inlineStr">
        <is>
          <t>EXECUTED</t>
        </is>
      </c>
      <c r="K10" t="n">
        <v>0</v>
      </c>
      <c r="L10" t="n">
        <v>-3.77</v>
      </c>
      <c r="M10">
        <f>HYPERLINK("../../data/DEC02_DYNAMIC/NOV27/OTM/NIFTY25D0226300CE_strategy.html", "View")</f>
        <v/>
      </c>
      <c r="N10" t="inlineStr"/>
      <c r="O10" t="inlineStr"/>
      <c r="P10" t="inlineStr">
        <is>
          <t>NEUTRAL</t>
        </is>
      </c>
      <c r="Q10" t="inlineStr">
        <is>
          <t>INCLUDED</t>
        </is>
      </c>
      <c r="R10" t="n">
        <v>-8</v>
      </c>
      <c r="S10" t="inlineStr">
        <is>
          <t>Fixed Stop Loss</t>
        </is>
      </c>
      <c r="T10" t="n">
        <v>0.2287</v>
      </c>
      <c r="U10" t="inlineStr"/>
      <c r="V10" t="inlineStr">
        <is>
          <t>2025-11-27</t>
        </is>
      </c>
      <c r="W10" t="inlineStr">
        <is>
          <t>Between R1 and S1</t>
        </is>
      </c>
      <c r="X10" t="n">
        <v>26281.55</v>
      </c>
      <c r="Y10" t="n">
        <v>26332.65</v>
      </c>
      <c r="Z10" t="n">
        <v>25960.45</v>
      </c>
      <c r="AA10" t="n">
        <v>26460</v>
      </c>
      <c r="AB10" t="n">
        <v>25715.6</v>
      </c>
      <c r="AC10" t="n">
        <v>26704.85</v>
      </c>
      <c r="AD10" t="n">
        <v>25588.25</v>
      </c>
    </row>
    <row r="11">
      <c r="A11">
        <f>HYPERLINK("../../data/DEC02_DYNAMIC/NOV27/OTM/NIFTY25D0226300CE_strategy.csv", "NIFTY25D0226300CE")</f>
        <v/>
      </c>
      <c r="B11" t="inlineStr">
        <is>
          <t>CE</t>
        </is>
      </c>
      <c r="C11" t="inlineStr">
        <is>
          <t>11:07:01</t>
        </is>
      </c>
      <c r="D11" t="inlineStr">
        <is>
          <t>11:17:00</t>
        </is>
      </c>
      <c r="E11" t="n">
        <v>127.3</v>
      </c>
      <c r="F11" t="n">
        <v>119.03</v>
      </c>
      <c r="G11" t="n">
        <v>91866.44</v>
      </c>
      <c r="H11" t="n">
        <v>104600</v>
      </c>
      <c r="I11" t="n">
        <v>73220</v>
      </c>
      <c r="J11" t="inlineStr">
        <is>
          <t>EXECUTED</t>
        </is>
      </c>
      <c r="K11" t="n">
        <v>2.36</v>
      </c>
      <c r="L11" t="n">
        <v>-5.7</v>
      </c>
      <c r="M11">
        <f>HYPERLINK("../../data/DEC02_DYNAMIC/NOV27/OTM/NIFTY25D0226300CE_strategy.html", "View")</f>
        <v/>
      </c>
      <c r="N11" t="inlineStr"/>
      <c r="O11" t="inlineStr"/>
      <c r="P11" t="inlineStr">
        <is>
          <t>NEUTRAL</t>
        </is>
      </c>
      <c r="Q11" t="inlineStr">
        <is>
          <t>INCLUDED</t>
        </is>
      </c>
      <c r="R11" t="n">
        <v>-6.5</v>
      </c>
      <c r="S11" t="inlineStr">
        <is>
          <t>Fixed Stop Loss</t>
        </is>
      </c>
      <c r="T11" t="n">
        <v>0.3721</v>
      </c>
      <c r="U11" t="inlineStr"/>
      <c r="V11" t="inlineStr">
        <is>
          <t>2025-11-27</t>
        </is>
      </c>
      <c r="W11" t="inlineStr">
        <is>
          <t>Between R1 and S1</t>
        </is>
      </c>
      <c r="X11" t="n">
        <v>26300.9</v>
      </c>
      <c r="Y11" t="n">
        <v>26332.65</v>
      </c>
      <c r="Z11" t="n">
        <v>25960.45</v>
      </c>
      <c r="AA11" t="n">
        <v>26460</v>
      </c>
      <c r="AB11" t="n">
        <v>25715.6</v>
      </c>
      <c r="AC11" t="n">
        <v>26704.85</v>
      </c>
      <c r="AD11" t="n">
        <v>25588.25</v>
      </c>
    </row>
    <row r="12">
      <c r="A12">
        <f>HYPERLINK("../../data/DEC02_DYNAMIC/NOV27/OTM/NIFTY25D0226300PE_strategy.csv", "NIFTY25D0226300PE")</f>
        <v/>
      </c>
      <c r="B12" t="inlineStr">
        <is>
          <t>PE</t>
        </is>
      </c>
      <c r="C12" t="inlineStr">
        <is>
          <t>10:54:01</t>
        </is>
      </c>
      <c r="D12" t="inlineStr">
        <is>
          <t>11:12:00</t>
        </is>
      </c>
      <c r="E12" t="n">
        <v>102.55</v>
      </c>
      <c r="F12" t="n">
        <v>104.7</v>
      </c>
      <c r="G12" t="n">
        <v>98252.87</v>
      </c>
      <c r="H12" t="n">
        <v>104600</v>
      </c>
      <c r="I12" t="n">
        <v>73220</v>
      </c>
      <c r="J12" t="inlineStr">
        <is>
          <t>EXECUTED</t>
        </is>
      </c>
      <c r="K12" t="n">
        <v>7.75</v>
      </c>
      <c r="L12" t="n">
        <v>-6.39</v>
      </c>
      <c r="M12">
        <f>HYPERLINK("../../data/DEC02_DYNAMIC/NOV27/OTM/NIFTY25D0226300PE_strategy.html", "View")</f>
        <v/>
      </c>
      <c r="N12" t="inlineStr"/>
      <c r="O12" t="inlineStr"/>
      <c r="P12" t="inlineStr">
        <is>
          <t>NEUTRAL</t>
        </is>
      </c>
      <c r="Q12" t="inlineStr">
        <is>
          <t>INCLUDED</t>
        </is>
      </c>
      <c r="R12" t="n">
        <v>2.1</v>
      </c>
      <c r="S12" t="inlineStr">
        <is>
          <t>Dynamic Trailing MA (Fast/Slow MA)</t>
        </is>
      </c>
      <c r="T12" t="n">
        <v>0.4088</v>
      </c>
      <c r="U12" t="n">
        <v>0.4802</v>
      </c>
      <c r="V12" t="inlineStr">
        <is>
          <t>2025-11-27</t>
        </is>
      </c>
      <c r="W12" t="inlineStr">
        <is>
          <t>Between R1 and S1</t>
        </is>
      </c>
      <c r="X12" t="n">
        <v>26291.3</v>
      </c>
      <c r="Y12" t="n">
        <v>26332.65</v>
      </c>
      <c r="Z12" t="n">
        <v>25960.45</v>
      </c>
      <c r="AA12" t="n">
        <v>26460</v>
      </c>
      <c r="AB12" t="n">
        <v>25715.6</v>
      </c>
      <c r="AC12" t="n">
        <v>26704.85</v>
      </c>
      <c r="AD12" t="n">
        <v>25588.25</v>
      </c>
    </row>
    <row r="13">
      <c r="A13">
        <f>HYPERLINK("../../data/DEC02_DYNAMIC/NOV27/OTM/NIFTY25D0226250PE_strategy.csv", "NIFTY25D0226250PE")</f>
        <v/>
      </c>
      <c r="B13" t="inlineStr">
        <is>
          <t>PE</t>
        </is>
      </c>
      <c r="C13" t="inlineStr">
        <is>
          <t>10:12:01</t>
        </is>
      </c>
      <c r="D13" t="inlineStr">
        <is>
          <t>10:14:00</t>
        </is>
      </c>
      <c r="E13" t="n">
        <v>95.25</v>
      </c>
      <c r="F13" t="n">
        <v>87.63</v>
      </c>
      <c r="G13" t="n">
        <v>96232</v>
      </c>
      <c r="H13" t="n">
        <v>104600</v>
      </c>
      <c r="I13" t="n">
        <v>73220</v>
      </c>
      <c r="J13" t="inlineStr">
        <is>
          <t>EXECUTED</t>
        </is>
      </c>
      <c r="K13" t="n">
        <v>0</v>
      </c>
      <c r="L13" t="n">
        <v>-12.97</v>
      </c>
      <c r="M13">
        <f>HYPERLINK("../../data/DEC02_DYNAMIC/NOV27/OTM/NIFTY25D0226250PE_strategy.html", "View")</f>
        <v/>
      </c>
      <c r="N13" t="inlineStr"/>
      <c r="O13" t="inlineStr"/>
      <c r="P13" t="inlineStr">
        <is>
          <t>BEARISH</t>
        </is>
      </c>
      <c r="Q13" t="inlineStr">
        <is>
          <t>INCLUDED (HYBRID_v5_BEARISH_PE)</t>
        </is>
      </c>
      <c r="R13" t="n">
        <v>-8</v>
      </c>
      <c r="S13" t="inlineStr">
        <is>
          <t>Fixed Stop Loss</t>
        </is>
      </c>
      <c r="T13" t="n">
        <v>0.4658</v>
      </c>
      <c r="U13" t="inlineStr"/>
      <c r="V13" t="inlineStr">
        <is>
          <t>2025-11-27</t>
        </is>
      </c>
      <c r="W13" t="inlineStr">
        <is>
          <t>Between R1 and S1</t>
        </is>
      </c>
      <c r="X13" t="n">
        <v>26276.4</v>
      </c>
      <c r="Y13" t="n">
        <v>26332.65</v>
      </c>
      <c r="Z13" t="n">
        <v>25960.45</v>
      </c>
      <c r="AA13" t="n">
        <v>26460</v>
      </c>
      <c r="AB13" t="n">
        <v>25715.6</v>
      </c>
      <c r="AC13" t="n">
        <v>26704.85</v>
      </c>
      <c r="AD13" t="n">
        <v>25588.25</v>
      </c>
    </row>
    <row r="14">
      <c r="A14">
        <f>HYPERLINK("../../data/DEC02_DYNAMIC/NOV27/OTM/NIFTY25D0226250CE_strategy.csv", "NIFTY25D0226250CE")</f>
        <v/>
      </c>
      <c r="B14" t="inlineStr">
        <is>
          <t>CE</t>
        </is>
      </c>
      <c r="C14" t="inlineStr">
        <is>
          <t>09:48:01</t>
        </is>
      </c>
      <c r="D14" t="inlineStr">
        <is>
          <t>10:11:00</t>
        </is>
      </c>
      <c r="E14" t="n">
        <v>142.05</v>
      </c>
      <c r="F14" t="n">
        <v>148.58</v>
      </c>
      <c r="G14" t="n">
        <v>104600</v>
      </c>
      <c r="H14" t="n">
        <v>104600</v>
      </c>
      <c r="I14" t="n">
        <v>73220</v>
      </c>
      <c r="J14" t="inlineStr">
        <is>
          <t>EXECUTED</t>
        </is>
      </c>
      <c r="K14" t="n">
        <v>19.08</v>
      </c>
      <c r="L14" t="n">
        <v>-11.26</v>
      </c>
      <c r="M14">
        <f>HYPERLINK("../../data/DEC02_DYNAMIC/NOV27/OTM/NIFTY25D0226250CE_strategy.html", "View")</f>
        <v/>
      </c>
      <c r="N14" t="inlineStr"/>
      <c r="O14" t="inlineStr"/>
      <c r="P14" t="inlineStr">
        <is>
          <t>BULLISH</t>
        </is>
      </c>
      <c r="Q14" t="inlineStr">
        <is>
          <t>INCLUDED (HYBRID_v5_BULLISH_CE)</t>
        </is>
      </c>
      <c r="R14" t="n">
        <v>4.6</v>
      </c>
      <c r="S14" t="inlineStr">
        <is>
          <t>SuperTrend Stop Loss Exit</t>
        </is>
      </c>
      <c r="T14" t="n">
        <v>0.3395</v>
      </c>
      <c r="U14" t="n">
        <v>0.7102000000000001</v>
      </c>
      <c r="V14" t="inlineStr">
        <is>
          <t>2025-11-27</t>
        </is>
      </c>
      <c r="W14" t="inlineStr">
        <is>
          <t>Between R1 and S1</t>
        </is>
      </c>
      <c r="X14" t="n">
        <v>26246.65</v>
      </c>
      <c r="Y14" t="n">
        <v>26332.65</v>
      </c>
      <c r="Z14" t="n">
        <v>25960.45</v>
      </c>
      <c r="AA14" t="n">
        <v>26460</v>
      </c>
      <c r="AB14" t="n">
        <v>25715.6</v>
      </c>
      <c r="AC14" t="n">
        <v>26704.85</v>
      </c>
      <c r="AD14" t="n">
        <v>25588.25</v>
      </c>
    </row>
    <row r="15">
      <c r="A15">
        <f>HYPERLINK("../../data/DEC02_DYNAMIC/NOV28/OTM/NIFTY25D0226200PE_strategy.csv", "NIFTY25D0226200PE")</f>
        <v/>
      </c>
      <c r="B15" t="inlineStr">
        <is>
          <t>PE</t>
        </is>
      </c>
      <c r="C15" t="inlineStr">
        <is>
          <t>11:56:01</t>
        </is>
      </c>
      <c r="D15" t="inlineStr">
        <is>
          <t>11:57:00</t>
        </is>
      </c>
      <c r="E15" t="n">
        <v>68.5</v>
      </c>
      <c r="F15" t="n">
        <v>63.02</v>
      </c>
      <c r="G15" t="n">
        <v>67292.82000000001</v>
      </c>
      <c r="H15" t="n">
        <v>100000</v>
      </c>
      <c r="I15" t="n">
        <v>70000</v>
      </c>
      <c r="J15" t="inlineStr">
        <is>
          <t>EXECUTED</t>
        </is>
      </c>
      <c r="K15" t="n">
        <v>0</v>
      </c>
      <c r="L15" t="n">
        <v>-7.52</v>
      </c>
      <c r="M15">
        <f>HYPERLINK("../../data/DEC02_DYNAMIC/NOV28/OTM/NIFTY25D0226200PE_strategy.html", "View")</f>
        <v/>
      </c>
      <c r="N15" t="inlineStr"/>
      <c r="O15" t="inlineStr"/>
      <c r="P15" t="inlineStr">
        <is>
          <t>BEARISH</t>
        </is>
      </c>
      <c r="Q15" t="inlineStr">
        <is>
          <t>INCLUDED (HYBRID_v5_BEARISH_PE)</t>
        </is>
      </c>
      <c r="R15" t="n">
        <v>-8</v>
      </c>
      <c r="S15" t="inlineStr">
        <is>
          <t>Fixed Stop Loss</t>
        </is>
      </c>
      <c r="T15" t="n">
        <v>0.626</v>
      </c>
      <c r="U15" t="inlineStr"/>
      <c r="V15" t="inlineStr">
        <is>
          <t>2025-11-28</t>
        </is>
      </c>
      <c r="W15" t="inlineStr">
        <is>
          <t>Between R1 and S1</t>
        </is>
      </c>
      <c r="X15" t="n">
        <v>26252.85</v>
      </c>
      <c r="Y15" t="n">
        <v>26303.37</v>
      </c>
      <c r="Z15" t="n">
        <v>26134.82</v>
      </c>
      <c r="AA15" t="n">
        <v>26391.18</v>
      </c>
      <c r="AB15" t="n">
        <v>26054.08</v>
      </c>
      <c r="AC15" t="n">
        <v>26471.92</v>
      </c>
      <c r="AD15" t="n">
        <v>25966.27</v>
      </c>
    </row>
    <row r="16">
      <c r="A16">
        <f>HYPERLINK("../../data/DEC02_DYNAMIC/NOV28/OTM/NIFTY25D0226250PE_strategy.csv", "NIFTY25D0226250PE")</f>
        <v/>
      </c>
      <c r="B16" t="inlineStr">
        <is>
          <t>PE</t>
        </is>
      </c>
      <c r="C16" t="inlineStr">
        <is>
          <t>11:20:01</t>
        </is>
      </c>
      <c r="D16" t="inlineStr">
        <is>
          <t>11:48:00</t>
        </is>
      </c>
      <c r="E16" t="n">
        <v>79.7</v>
      </c>
      <c r="F16" t="n">
        <v>82.15000000000001</v>
      </c>
      <c r="G16" t="n">
        <v>73144.37</v>
      </c>
      <c r="H16" t="n">
        <v>100000</v>
      </c>
      <c r="I16" t="n">
        <v>70000</v>
      </c>
      <c r="J16" t="inlineStr">
        <is>
          <t>EXECUTED</t>
        </is>
      </c>
      <c r="K16" t="n">
        <v>16</v>
      </c>
      <c r="L16" t="n">
        <v>-6.4</v>
      </c>
      <c r="M16">
        <f>HYPERLINK("../../data/DEC02_DYNAMIC/NOV28/OTM/NIFTY25D0226250PE_strategy.html", "View")</f>
        <v/>
      </c>
      <c r="N16" t="inlineStr"/>
      <c r="O16" t="inlineStr"/>
      <c r="P16" t="inlineStr">
        <is>
          <t>NEUTRAL</t>
        </is>
      </c>
      <c r="Q16" t="inlineStr">
        <is>
          <t>INCLUDED</t>
        </is>
      </c>
      <c r="R16" t="n">
        <v>3.07</v>
      </c>
      <c r="S16" t="inlineStr">
        <is>
          <t>Dynamic Trailing MA (Fast/Slow MA)</t>
        </is>
      </c>
      <c r="T16" t="n">
        <v>0.3552</v>
      </c>
      <c r="U16" t="n">
        <v>0.5711000000000001</v>
      </c>
      <c r="V16" t="inlineStr">
        <is>
          <t>2025-11-28</t>
        </is>
      </c>
      <c r="W16" t="inlineStr">
        <is>
          <t>Between R1 and S1</t>
        </is>
      </c>
      <c r="X16" t="n">
        <v>26262.35</v>
      </c>
      <c r="Y16" t="n">
        <v>26303.37</v>
      </c>
      <c r="Z16" t="n">
        <v>26134.82</v>
      </c>
      <c r="AA16" t="n">
        <v>26391.18</v>
      </c>
      <c r="AB16" t="n">
        <v>26054.08</v>
      </c>
      <c r="AC16" t="n">
        <v>26471.92</v>
      </c>
      <c r="AD16" t="n">
        <v>25966.27</v>
      </c>
    </row>
    <row r="17">
      <c r="A17">
        <f>HYPERLINK("../../data/DEC02_DYNAMIC/NOV28/OTM/NIFTY25D0226300CE_strategy.csv", "NIFTY25D0226300CE")</f>
        <v/>
      </c>
      <c r="B17" t="inlineStr">
        <is>
          <t>CE</t>
        </is>
      </c>
      <c r="C17" t="inlineStr">
        <is>
          <t>11:14:01</t>
        </is>
      </c>
      <c r="D17" t="inlineStr">
        <is>
          <t>11:21:00</t>
        </is>
      </c>
      <c r="E17" t="n">
        <v>91.15000000000001</v>
      </c>
      <c r="F17" t="n">
        <v>83.86</v>
      </c>
      <c r="G17" t="n">
        <v>70965.72</v>
      </c>
      <c r="H17" t="n">
        <v>100000</v>
      </c>
      <c r="I17" t="n">
        <v>70000</v>
      </c>
      <c r="J17" t="inlineStr">
        <is>
          <t>EXECUTED</t>
        </is>
      </c>
      <c r="K17" t="n">
        <v>1.7</v>
      </c>
      <c r="L17" t="n">
        <v>-11.46</v>
      </c>
      <c r="M17">
        <f>HYPERLINK("../../data/DEC02_DYNAMIC/NOV28/OTM/NIFTY25D0226300CE_strategy.html", "View")</f>
        <v/>
      </c>
      <c r="N17" t="inlineStr"/>
      <c r="O17" t="inlineStr"/>
      <c r="P17" t="inlineStr">
        <is>
          <t>NEUTRAL</t>
        </is>
      </c>
      <c r="Q17" t="inlineStr">
        <is>
          <t>INCLUDED</t>
        </is>
      </c>
      <c r="R17" t="n">
        <v>-8</v>
      </c>
      <c r="S17" t="inlineStr">
        <is>
          <t>Fixed Stop Loss</t>
        </is>
      </c>
      <c r="T17" t="n">
        <v>0.5855</v>
      </c>
      <c r="U17" t="inlineStr"/>
      <c r="V17" t="inlineStr">
        <is>
          <t>2025-11-28</t>
        </is>
      </c>
      <c r="W17" t="inlineStr">
        <is>
          <t>Between R1 and S1</t>
        </is>
      </c>
      <c r="X17" t="n">
        <v>26266.5</v>
      </c>
      <c r="Y17" t="n">
        <v>26303.37</v>
      </c>
      <c r="Z17" t="n">
        <v>26134.82</v>
      </c>
      <c r="AA17" t="n">
        <v>26391.18</v>
      </c>
      <c r="AB17" t="n">
        <v>26054.08</v>
      </c>
      <c r="AC17" t="n">
        <v>26471.92</v>
      </c>
      <c r="AD17" t="n">
        <v>25966.27</v>
      </c>
    </row>
    <row r="18">
      <c r="A18">
        <f>HYPERLINK("../../data/DEC02_DYNAMIC/NOV28/OTM/NIFTY25D0226250PE_strategy.csv", "NIFTY25D0226250PE")</f>
        <v/>
      </c>
      <c r="B18" t="inlineStr">
        <is>
          <t>PE</t>
        </is>
      </c>
      <c r="C18" t="inlineStr">
        <is>
          <t>10:52:01</t>
        </is>
      </c>
      <c r="D18" t="inlineStr">
        <is>
          <t>11:14:00</t>
        </is>
      </c>
      <c r="E18" t="n">
        <v>80.34999999999999</v>
      </c>
      <c r="F18" t="n">
        <v>73.92</v>
      </c>
      <c r="G18" t="n">
        <v>77136.64999999999</v>
      </c>
      <c r="H18" t="n">
        <v>100000</v>
      </c>
      <c r="I18" t="n">
        <v>70000</v>
      </c>
      <c r="J18" t="inlineStr">
        <is>
          <t>EXECUTED</t>
        </is>
      </c>
      <c r="K18" t="n">
        <v>6.16</v>
      </c>
      <c r="L18" t="n">
        <v>-5.72</v>
      </c>
      <c r="M18">
        <f>HYPERLINK("../../data/DEC02_DYNAMIC/NOV28/OTM/NIFTY25D0226250PE_strategy.html", "View")</f>
        <v/>
      </c>
      <c r="N18" t="inlineStr"/>
      <c r="O18" t="inlineStr"/>
      <c r="P18" t="inlineStr">
        <is>
          <t>NEUTRAL</t>
        </is>
      </c>
      <c r="Q18" t="inlineStr">
        <is>
          <t>INCLUDED</t>
        </is>
      </c>
      <c r="R18" t="n">
        <v>-8</v>
      </c>
      <c r="S18" t="inlineStr">
        <is>
          <t>Fixed Stop Loss</t>
        </is>
      </c>
      <c r="T18" t="n">
        <v>0.438</v>
      </c>
      <c r="U18" t="inlineStr"/>
      <c r="V18" t="inlineStr">
        <is>
          <t>2025-11-28</t>
        </is>
      </c>
      <c r="W18" t="inlineStr">
        <is>
          <t>Between R1 and S1</t>
        </is>
      </c>
      <c r="X18" t="n">
        <v>26267.5</v>
      </c>
      <c r="Y18" t="n">
        <v>26303.37</v>
      </c>
      <c r="Z18" t="n">
        <v>26134.82</v>
      </c>
      <c r="AA18" t="n">
        <v>26391.18</v>
      </c>
      <c r="AB18" t="n">
        <v>26054.08</v>
      </c>
      <c r="AC18" t="n">
        <v>26471.92</v>
      </c>
      <c r="AD18" t="n">
        <v>25966.27</v>
      </c>
    </row>
    <row r="19">
      <c r="A19">
        <f>HYPERLINK("../../data/DEC02_DYNAMIC/NOV28/OTM/NIFTY25D0226250CE_strategy.csv", "NIFTY25D0226250CE")</f>
        <v/>
      </c>
      <c r="B19" t="inlineStr">
        <is>
          <t>CE</t>
        </is>
      </c>
      <c r="C19" t="inlineStr">
        <is>
          <t>10:27:01</t>
        </is>
      </c>
      <c r="D19" t="inlineStr">
        <is>
          <t>10:59:00</t>
        </is>
      </c>
      <c r="E19" t="n">
        <v>104.7</v>
      </c>
      <c r="F19" t="n">
        <v>112.55</v>
      </c>
      <c r="G19" t="n">
        <v>83844.19</v>
      </c>
      <c r="H19" t="n">
        <v>100000</v>
      </c>
      <c r="I19" t="n">
        <v>70000</v>
      </c>
      <c r="J19" t="inlineStr">
        <is>
          <t>EXECUTED</t>
        </is>
      </c>
      <c r="K19" t="n">
        <v>21.78</v>
      </c>
      <c r="L19" t="n">
        <v>-7.4</v>
      </c>
      <c r="M19">
        <f>HYPERLINK("../../data/DEC02_DYNAMIC/NOV28/OTM/NIFTY25D0226250CE_strategy.html", "View")</f>
        <v/>
      </c>
      <c r="N19" t="inlineStr"/>
      <c r="O19" t="inlineStr"/>
      <c r="P19" t="inlineStr">
        <is>
          <t>BULLISH</t>
        </is>
      </c>
      <c r="Q19" t="inlineStr">
        <is>
          <t>INCLUDED (HYBRID_v5_BULLISH_CE)</t>
        </is>
      </c>
      <c r="R19" t="n">
        <v>7.5</v>
      </c>
      <c r="S19" t="inlineStr">
        <is>
          <t>Dynamic Trailing MA (Fast/Slow MA)</t>
        </is>
      </c>
      <c r="T19" t="n">
        <v>0.4898</v>
      </c>
      <c r="U19" t="n">
        <v>0.6701</v>
      </c>
      <c r="V19" t="inlineStr">
        <is>
          <t>2025-11-28</t>
        </is>
      </c>
      <c r="W19" t="inlineStr">
        <is>
          <t>Between R1 and S1</t>
        </is>
      </c>
      <c r="X19" t="n">
        <v>26237.45</v>
      </c>
      <c r="Y19" t="n">
        <v>26303.37</v>
      </c>
      <c r="Z19" t="n">
        <v>26134.82</v>
      </c>
      <c r="AA19" t="n">
        <v>26391.18</v>
      </c>
      <c r="AB19" t="n">
        <v>26054.08</v>
      </c>
      <c r="AC19" t="n">
        <v>26471.92</v>
      </c>
      <c r="AD19" t="n">
        <v>25966.27</v>
      </c>
    </row>
    <row r="20">
      <c r="A20">
        <f>HYPERLINK("../../data/DEC02_DYNAMIC/NOV28/OTM/NIFTY25D0226250PE_strategy.csv", "NIFTY25D0226250PE")</f>
        <v/>
      </c>
      <c r="B20" t="inlineStr">
        <is>
          <t>PE</t>
        </is>
      </c>
      <c r="C20" t="inlineStr">
        <is>
          <t>10:15:01</t>
        </is>
      </c>
      <c r="D20" t="inlineStr">
        <is>
          <t>10:32:00</t>
        </is>
      </c>
      <c r="E20" t="n">
        <v>89.5</v>
      </c>
      <c r="F20" t="n">
        <v>83.67</v>
      </c>
      <c r="G20" t="n">
        <v>77994.59</v>
      </c>
      <c r="H20" t="n">
        <v>100000</v>
      </c>
      <c r="I20" t="n">
        <v>70000</v>
      </c>
      <c r="J20" t="inlineStr">
        <is>
          <t>EXECUTED</t>
        </is>
      </c>
      <c r="K20" t="n">
        <v>9.779999999999999</v>
      </c>
      <c r="L20" t="n">
        <v>-10.56</v>
      </c>
      <c r="M20">
        <f>HYPERLINK("../../data/DEC02_DYNAMIC/NOV28/OTM/NIFTY25D0226250PE_strategy.html", "View")</f>
        <v/>
      </c>
      <c r="N20" t="inlineStr"/>
      <c r="O20" t="inlineStr"/>
      <c r="P20" t="inlineStr">
        <is>
          <t>BEARISH</t>
        </is>
      </c>
      <c r="Q20" t="inlineStr">
        <is>
          <t>INCLUDED (HYBRID_v5_BEARISH_PE)</t>
        </is>
      </c>
      <c r="R20" t="n">
        <v>-6.51</v>
      </c>
      <c r="S20" t="inlineStr">
        <is>
          <t>SuperTrend Stop Loss Exit</t>
        </is>
      </c>
      <c r="T20" t="n">
        <v>0.6731</v>
      </c>
      <c r="U20" t="n">
        <v>0.8014</v>
      </c>
      <c r="V20" t="inlineStr">
        <is>
          <t>2025-11-28</t>
        </is>
      </c>
      <c r="W20" t="inlineStr">
        <is>
          <t>Between R1 and S1</t>
        </is>
      </c>
      <c r="X20" t="n">
        <v>26237.15</v>
      </c>
      <c r="Y20" t="n">
        <v>26303.37</v>
      </c>
      <c r="Z20" t="n">
        <v>26134.82</v>
      </c>
      <c r="AA20" t="n">
        <v>26391.18</v>
      </c>
      <c r="AB20" t="n">
        <v>26054.08</v>
      </c>
      <c r="AC20" t="n">
        <v>26471.92</v>
      </c>
      <c r="AD20" t="n">
        <v>25966.27</v>
      </c>
    </row>
    <row r="21">
      <c r="A21">
        <f>HYPERLINK("../../data/DEC02_DYNAMIC/NOV28/OTM/NIFTY25D0226200PE_strategy.csv", "NIFTY25D0226200PE")</f>
        <v/>
      </c>
      <c r="B21" t="inlineStr">
        <is>
          <t>PE</t>
        </is>
      </c>
      <c r="C21" t="inlineStr">
        <is>
          <t>09:38:01</t>
        </is>
      </c>
      <c r="D21" t="inlineStr">
        <is>
          <t>09:48:00</t>
        </is>
      </c>
      <c r="E21" t="n">
        <v>79.95</v>
      </c>
      <c r="F21" t="n">
        <v>72.5</v>
      </c>
      <c r="G21" t="n">
        <v>83425.60000000001</v>
      </c>
      <c r="H21" t="n">
        <v>100000</v>
      </c>
      <c r="I21" t="n">
        <v>70000</v>
      </c>
      <c r="J21" t="inlineStr">
        <is>
          <t>EXECUTED</t>
        </is>
      </c>
      <c r="K21" t="n">
        <v>8.82</v>
      </c>
      <c r="L21" t="n">
        <v>-16.95</v>
      </c>
      <c r="M21">
        <f>HYPERLINK("../../data/DEC02_DYNAMIC/NOV28/OTM/NIFTY25D0226200PE_strategy.html", "View")</f>
        <v/>
      </c>
      <c r="N21" t="inlineStr"/>
      <c r="O21" t="inlineStr"/>
      <c r="P21" t="inlineStr">
        <is>
          <t>NEUTRAL</t>
        </is>
      </c>
      <c r="Q21" t="inlineStr">
        <is>
          <t>INCLUDED</t>
        </is>
      </c>
      <c r="R21" t="n">
        <v>-9.32</v>
      </c>
      <c r="S21" t="inlineStr">
        <is>
          <t>Dynamic Trailing MA (Fast/Slow MA)</t>
        </is>
      </c>
      <c r="T21" t="n">
        <v>0.4532</v>
      </c>
      <c r="U21" t="n">
        <v>0.4501</v>
      </c>
      <c r="V21" t="inlineStr">
        <is>
          <t>2025-11-28</t>
        </is>
      </c>
      <c r="W21" t="inlineStr">
        <is>
          <t>Between R1 and S1</t>
        </is>
      </c>
      <c r="X21" t="n">
        <v>26206.25</v>
      </c>
      <c r="Y21" t="n">
        <v>26303.37</v>
      </c>
      <c r="Z21" t="n">
        <v>26134.82</v>
      </c>
      <c r="AA21" t="n">
        <v>26391.18</v>
      </c>
      <c r="AB21" t="n">
        <v>26054.08</v>
      </c>
      <c r="AC21" t="n">
        <v>26471.92</v>
      </c>
      <c r="AD21" t="n">
        <v>25966.27</v>
      </c>
    </row>
    <row r="22">
      <c r="A22">
        <f>HYPERLINK("../../data/DEC02_DYNAMIC/NOV28/OTM/NIFTY25D0226200PE_strategy.csv", "NIFTY25D0226200PE")</f>
        <v/>
      </c>
      <c r="B22" t="inlineStr">
        <is>
          <t>PE</t>
        </is>
      </c>
      <c r="C22" t="inlineStr">
        <is>
          <t>09:25:01</t>
        </is>
      </c>
      <c r="D22" t="inlineStr">
        <is>
          <t>09:27:00</t>
        </is>
      </c>
      <c r="E22" t="n">
        <v>84.45</v>
      </c>
      <c r="F22" t="n">
        <v>77.69</v>
      </c>
      <c r="G22" t="n">
        <v>92000</v>
      </c>
      <c r="H22" t="n">
        <v>100000</v>
      </c>
      <c r="I22" t="n">
        <v>70000</v>
      </c>
      <c r="J22" t="inlineStr">
        <is>
          <t>EXECUTED</t>
        </is>
      </c>
      <c r="K22" t="n">
        <v>4.5</v>
      </c>
      <c r="L22" t="n">
        <v>-12.14</v>
      </c>
      <c r="M22">
        <f>HYPERLINK("../../data/DEC02_DYNAMIC/NOV28/OTM/NIFTY25D0226200PE_strategy.html", "View")</f>
        <v/>
      </c>
      <c r="N22" t="inlineStr"/>
      <c r="O22" t="inlineStr"/>
      <c r="P22" t="inlineStr">
        <is>
          <t>NEUTRAL</t>
        </is>
      </c>
      <c r="Q22" t="inlineStr">
        <is>
          <t>INCLUDED</t>
        </is>
      </c>
      <c r="R22" t="n">
        <v>-8</v>
      </c>
      <c r="S22" t="inlineStr">
        <is>
          <t>Fixed Stop Loss</t>
        </is>
      </c>
      <c r="T22" t="n">
        <v>0.5474</v>
      </c>
      <c r="U22" t="inlineStr"/>
      <c r="V22" t="inlineStr">
        <is>
          <t>2025-11-28</t>
        </is>
      </c>
      <c r="W22" t="inlineStr">
        <is>
          <t>Between R1 and S1</t>
        </is>
      </c>
      <c r="X22" t="n">
        <v>26205.8</v>
      </c>
      <c r="Y22" t="n">
        <v>26303.37</v>
      </c>
      <c r="Z22" t="n">
        <v>26134.82</v>
      </c>
      <c r="AA22" t="n">
        <v>26391.18</v>
      </c>
      <c r="AB22" t="n">
        <v>26054.08</v>
      </c>
      <c r="AC22" t="n">
        <v>26471.92</v>
      </c>
      <c r="AD22" t="n">
        <v>25966.27</v>
      </c>
    </row>
    <row r="23">
      <c r="A23">
        <f>HYPERLINK("../../data/DEC02_DYNAMIC/DEC01/OTM/NIFTY25D0226200PE_strategy.csv", "NIFTY25D0226200PE")</f>
        <v/>
      </c>
      <c r="B23" t="inlineStr">
        <is>
          <t>PE</t>
        </is>
      </c>
      <c r="C23" t="inlineStr">
        <is>
          <t>14:10:01</t>
        </is>
      </c>
      <c r="D23" t="inlineStr">
        <is>
          <t>14:15:00</t>
        </is>
      </c>
      <c r="E23" t="n">
        <v>58.15</v>
      </c>
      <c r="F23" t="n">
        <v>53.5</v>
      </c>
      <c r="G23" t="n">
        <v>83678.95</v>
      </c>
      <c r="H23" t="n">
        <v>100893.38</v>
      </c>
      <c r="I23" t="n">
        <v>70625.37</v>
      </c>
      <c r="J23" t="inlineStr">
        <is>
          <t>EXECUTED</t>
        </is>
      </c>
      <c r="K23" t="n">
        <v>6.79</v>
      </c>
      <c r="L23" t="n">
        <v>-11.35</v>
      </c>
      <c r="M23">
        <f>HYPERLINK("../../data/DEC02_DYNAMIC/DEC01/OTM/NIFTY25D0226200PE_strategy.html", "View")</f>
        <v/>
      </c>
      <c r="N23" t="inlineStr"/>
      <c r="O23" t="inlineStr"/>
      <c r="P23" t="inlineStr">
        <is>
          <t>NEUTRAL</t>
        </is>
      </c>
      <c r="Q23" t="inlineStr">
        <is>
          <t>INCLUDED</t>
        </is>
      </c>
      <c r="R23" t="n">
        <v>-8</v>
      </c>
      <c r="S23" t="inlineStr">
        <is>
          <t>Fixed Stop Loss</t>
        </is>
      </c>
      <c r="T23" t="n">
        <v>0.3138</v>
      </c>
      <c r="U23" t="inlineStr"/>
      <c r="V23" t="inlineStr">
        <is>
          <t>2025-12-01</t>
        </is>
      </c>
      <c r="W23" t="inlineStr">
        <is>
          <t>Between R1 and S1</t>
        </is>
      </c>
      <c r="X23" t="n">
        <v>26207.4</v>
      </c>
      <c r="Y23" t="n">
        <v>26265</v>
      </c>
      <c r="Z23" t="n">
        <v>26156.65</v>
      </c>
      <c r="AA23" t="n">
        <v>26327.05</v>
      </c>
      <c r="AB23" t="n">
        <v>26110.35</v>
      </c>
      <c r="AC23" t="n">
        <v>26373.35</v>
      </c>
      <c r="AD23" t="n">
        <v>26048.3</v>
      </c>
    </row>
    <row r="24">
      <c r="A24">
        <f>HYPERLINK("../../data/DEC02_DYNAMIC/DEC01/OTM/NIFTY25D0226150PE_strategy.csv", "NIFTY25D0226150PE")</f>
        <v/>
      </c>
      <c r="B24" t="inlineStr">
        <is>
          <t>PE</t>
        </is>
      </c>
      <c r="C24" t="inlineStr">
        <is>
          <t>13:23:01</t>
        </is>
      </c>
      <c r="D24" t="inlineStr">
        <is>
          <t>13:37:00</t>
        </is>
      </c>
      <c r="E24" t="n">
        <v>55.05</v>
      </c>
      <c r="F24" t="n">
        <v>49.63</v>
      </c>
      <c r="G24" t="n">
        <v>90955.38</v>
      </c>
      <c r="H24" t="n">
        <v>100893.38</v>
      </c>
      <c r="I24" t="n">
        <v>70625.37</v>
      </c>
      <c r="J24" t="inlineStr">
        <is>
          <t>EXECUTED</t>
        </is>
      </c>
      <c r="K24" t="n">
        <v>8.720000000000001</v>
      </c>
      <c r="L24" t="n">
        <v>-18.71</v>
      </c>
      <c r="M24">
        <f>HYPERLINK("../../data/DEC02_DYNAMIC/DEC01/OTM/NIFTY25D0226150PE_strategy.html", "View")</f>
        <v/>
      </c>
      <c r="N24" t="inlineStr"/>
      <c r="O24" t="inlineStr"/>
      <c r="P24" t="inlineStr">
        <is>
          <t>BEARISH</t>
        </is>
      </c>
      <c r="Q24" t="inlineStr">
        <is>
          <t>INCLUDED (HYBRID_v5_BEARISH_PE)</t>
        </is>
      </c>
      <c r="R24" t="n">
        <v>-9.85</v>
      </c>
      <c r="S24" t="inlineStr">
        <is>
          <t>SuperTrend Stop Loss Exit</t>
        </is>
      </c>
      <c r="T24" t="n">
        <v>0.5258</v>
      </c>
      <c r="U24" t="n">
        <v>0.7426</v>
      </c>
      <c r="V24" t="inlineStr">
        <is>
          <t>2025-12-01</t>
        </is>
      </c>
      <c r="W24" t="inlineStr">
        <is>
          <t>Between R1 and S1</t>
        </is>
      </c>
      <c r="X24" t="n">
        <v>26177.45</v>
      </c>
      <c r="Y24" t="n">
        <v>26265</v>
      </c>
      <c r="Z24" t="n">
        <v>26156.65</v>
      </c>
      <c r="AA24" t="n">
        <v>26327.05</v>
      </c>
      <c r="AB24" t="n">
        <v>26110.35</v>
      </c>
      <c r="AC24" t="n">
        <v>26373.35</v>
      </c>
      <c r="AD24" t="n">
        <v>26048.3</v>
      </c>
    </row>
    <row r="25">
      <c r="A25">
        <f>HYPERLINK("../../data/DEC09_DYNAMIC/DEC04/OTM/NIFTY25D0926000PE_strategy.csv", "NIFTY25D0926000PE")</f>
        <v/>
      </c>
      <c r="B25" t="inlineStr">
        <is>
          <t>PE</t>
        </is>
      </c>
      <c r="C25" t="inlineStr">
        <is>
          <t>14:42:01</t>
        </is>
      </c>
      <c r="D25" t="inlineStr">
        <is>
          <t>14:42:00</t>
        </is>
      </c>
      <c r="E25" t="n">
        <v>84.59999999999999</v>
      </c>
      <c r="F25" t="n">
        <v>81.65000000000001</v>
      </c>
      <c r="G25" t="n">
        <v>130002.3</v>
      </c>
      <c r="H25" t="n">
        <v>167300</v>
      </c>
      <c r="I25" t="n">
        <v>117110</v>
      </c>
      <c r="J25" t="inlineStr">
        <is>
          <t>EXECUTED</t>
        </is>
      </c>
      <c r="K25" t="inlineStr"/>
      <c r="L25" t="n">
        <v>-3.66</v>
      </c>
      <c r="M25">
        <f>HYPERLINK("../../data/DEC09_DYNAMIC/DEC04/OTM/NIFTY25D0926000PE_strategy.html", "View")</f>
        <v/>
      </c>
      <c r="N25" t="inlineStr"/>
      <c r="O25" t="inlineStr"/>
      <c r="P25" t="inlineStr">
        <is>
          <t>BEARISH</t>
        </is>
      </c>
      <c r="Q25" t="inlineStr">
        <is>
          <t>INCLUDED (HYBRID_v5_BEARISH_PE)</t>
        </is>
      </c>
      <c r="R25" t="n">
        <v>-3.49</v>
      </c>
      <c r="S25" t="inlineStr">
        <is>
          <t>Fixed Stop Loss</t>
        </is>
      </c>
      <c r="T25" t="n">
        <v>0.4203</v>
      </c>
      <c r="U25" t="inlineStr"/>
      <c r="V25" t="inlineStr">
        <is>
          <t>2025-12-04</t>
        </is>
      </c>
      <c r="W25" t="inlineStr">
        <is>
          <t>Between R1 and S1</t>
        </is>
      </c>
      <c r="X25" t="n">
        <v>26015.5</v>
      </c>
      <c r="Y25" t="n">
        <v>26071.3</v>
      </c>
      <c r="Z25" t="n">
        <v>25895.85</v>
      </c>
      <c r="AA25" t="n">
        <v>26156.6</v>
      </c>
      <c r="AB25" t="n">
        <v>25805.7</v>
      </c>
      <c r="AC25" t="n">
        <v>26246.75</v>
      </c>
      <c r="AD25" t="n">
        <v>25720.4</v>
      </c>
    </row>
    <row r="26">
      <c r="A26">
        <f>HYPERLINK("../../data/DEC09_DYNAMIC/DEC04/OTM/NIFTY25D0926000PE_strategy.csv", "NIFTY25D0926000PE")</f>
        <v/>
      </c>
      <c r="B26" t="inlineStr">
        <is>
          <t>PE</t>
        </is>
      </c>
      <c r="C26" t="inlineStr">
        <is>
          <t>14:26:01</t>
        </is>
      </c>
      <c r="D26" t="inlineStr">
        <is>
          <t>14:30:00</t>
        </is>
      </c>
      <c r="E26" t="n">
        <v>90.7</v>
      </c>
      <c r="F26" t="n">
        <v>84.81999999999999</v>
      </c>
      <c r="G26" t="n">
        <v>134703.46</v>
      </c>
      <c r="H26" t="n">
        <v>167300</v>
      </c>
      <c r="I26" t="n">
        <v>117110</v>
      </c>
      <c r="J26" t="inlineStr">
        <is>
          <t>EXECUTED</t>
        </is>
      </c>
      <c r="K26" t="n">
        <v>0</v>
      </c>
      <c r="L26" t="n">
        <v>-6.01</v>
      </c>
      <c r="M26">
        <f>HYPERLINK("../../data/DEC09_DYNAMIC/DEC04/OTM/NIFTY25D0926000PE_strategy.html", "View")</f>
        <v/>
      </c>
      <c r="N26" t="inlineStr"/>
      <c r="O26" t="inlineStr"/>
      <c r="P26" t="inlineStr">
        <is>
          <t>BEARISH</t>
        </is>
      </c>
      <c r="Q26" t="inlineStr">
        <is>
          <t>INCLUDED (HYBRID_v5_BEARISH_PE)</t>
        </is>
      </c>
      <c r="R26" t="n">
        <v>-6.48</v>
      </c>
      <c r="S26" t="inlineStr">
        <is>
          <t>Fixed Stop Loss</t>
        </is>
      </c>
      <c r="T26" t="n">
        <v>0.4418</v>
      </c>
      <c r="U26" t="inlineStr"/>
      <c r="V26" t="inlineStr">
        <is>
          <t>2025-12-04</t>
        </is>
      </c>
      <c r="W26" t="inlineStr">
        <is>
          <t>Between R1 and S1</t>
        </is>
      </c>
      <c r="X26" t="n">
        <v>26006.75</v>
      </c>
      <c r="Y26" t="n">
        <v>26071.3</v>
      </c>
      <c r="Z26" t="n">
        <v>25895.85</v>
      </c>
      <c r="AA26" t="n">
        <v>26156.6</v>
      </c>
      <c r="AB26" t="n">
        <v>25805.7</v>
      </c>
      <c r="AC26" t="n">
        <v>26246.75</v>
      </c>
      <c r="AD26" t="n">
        <v>25720.4</v>
      </c>
    </row>
    <row r="27">
      <c r="A27">
        <f>HYPERLINK("../../data/DEC09_DYNAMIC/DEC04/OTM/NIFTY25D0925950PE_strategy.csv", "NIFTY25D0925950PE")</f>
        <v/>
      </c>
      <c r="B27" t="inlineStr">
        <is>
          <t>PE</t>
        </is>
      </c>
      <c r="C27" t="inlineStr">
        <is>
          <t>14:21:01</t>
        </is>
      </c>
      <c r="D27" t="inlineStr">
        <is>
          <t>14:24:00</t>
        </is>
      </c>
      <c r="E27" t="n">
        <v>72.05</v>
      </c>
      <c r="F27" t="n">
        <v>66.29000000000001</v>
      </c>
      <c r="G27" t="n">
        <v>144037.06</v>
      </c>
      <c r="H27" t="n">
        <v>167300</v>
      </c>
      <c r="I27" t="n">
        <v>117110</v>
      </c>
      <c r="J27" t="inlineStr">
        <is>
          <t>EXECUTED</t>
        </is>
      </c>
      <c r="K27" t="n">
        <v>3.47</v>
      </c>
      <c r="L27" t="n">
        <v>-7.08</v>
      </c>
      <c r="M27">
        <f>HYPERLINK("../../data/DEC09_DYNAMIC/DEC04/OTM/NIFTY25D0925950PE_strategy.html", "View")</f>
        <v/>
      </c>
      <c r="N27" t="inlineStr"/>
      <c r="O27" t="inlineStr"/>
      <c r="P27" t="inlineStr">
        <is>
          <t>BEARISH</t>
        </is>
      </c>
      <c r="Q27" t="inlineStr">
        <is>
          <t>INCLUDED (HYBRID_v5_BEARISH_PE)</t>
        </is>
      </c>
      <c r="R27" t="n">
        <v>-7.99</v>
      </c>
      <c r="S27" t="inlineStr">
        <is>
          <t>Fixed Stop Loss</t>
        </is>
      </c>
      <c r="T27" t="n">
        <v>0.4589</v>
      </c>
      <c r="U27" t="inlineStr"/>
      <c r="V27" t="inlineStr">
        <is>
          <t>2025-12-04</t>
        </is>
      </c>
      <c r="W27" t="inlineStr">
        <is>
          <t>Between R1 and S1</t>
        </is>
      </c>
      <c r="X27" t="n">
        <v>25995</v>
      </c>
      <c r="Y27" t="n">
        <v>26071.3</v>
      </c>
      <c r="Z27" t="n">
        <v>25895.85</v>
      </c>
      <c r="AA27" t="n">
        <v>26156.6</v>
      </c>
      <c r="AB27" t="n">
        <v>25805.7</v>
      </c>
      <c r="AC27" t="n">
        <v>26246.75</v>
      </c>
      <c r="AD27" t="n">
        <v>25720.4</v>
      </c>
    </row>
    <row r="28">
      <c r="A28">
        <f>HYPERLINK("../../data/DEC09_DYNAMIC/DEC04/OTM/NIFTY25D0926000PE_strategy.csv", "NIFTY25D0926000PE")</f>
        <v/>
      </c>
      <c r="B28" t="inlineStr">
        <is>
          <t>PE</t>
        </is>
      </c>
      <c r="C28" t="inlineStr">
        <is>
          <t>13:33:01</t>
        </is>
      </c>
      <c r="D28" t="inlineStr">
        <is>
          <t>14:07:00</t>
        </is>
      </c>
      <c r="E28" t="n">
        <v>87.7</v>
      </c>
      <c r="F28" t="n">
        <v>101</v>
      </c>
      <c r="G28" t="n">
        <v>156545</v>
      </c>
      <c r="H28" t="n">
        <v>167300</v>
      </c>
      <c r="I28" t="n">
        <v>117110</v>
      </c>
      <c r="J28" t="inlineStr">
        <is>
          <t>EXECUTED</t>
        </is>
      </c>
      <c r="K28" t="n">
        <v>28.16</v>
      </c>
      <c r="L28" t="n">
        <v>-7.98</v>
      </c>
      <c r="M28">
        <f>HYPERLINK("../../data/DEC09_DYNAMIC/DEC04/OTM/NIFTY25D0926000PE_strategy.html", "View")</f>
        <v/>
      </c>
      <c r="N28" t="inlineStr"/>
      <c r="O28" t="inlineStr"/>
      <c r="P28" t="inlineStr">
        <is>
          <t>BEARISH</t>
        </is>
      </c>
      <c r="Q28" t="inlineStr">
        <is>
          <t>INCLUDED (HYBRID_v5_BEARISH_PE)</t>
        </is>
      </c>
      <c r="R28" t="n">
        <v>15.17</v>
      </c>
      <c r="S28" t="inlineStr">
        <is>
          <t>Dynamic Trailing MA (Fast/Slow MA)</t>
        </is>
      </c>
      <c r="T28" t="n">
        <v>0.2651</v>
      </c>
      <c r="U28" t="n">
        <v>0.4055</v>
      </c>
      <c r="V28" t="inlineStr">
        <is>
          <t>2025-12-04</t>
        </is>
      </c>
      <c r="W28" t="inlineStr">
        <is>
          <t>Between R1 and S1</t>
        </is>
      </c>
      <c r="X28" t="n">
        <v>26008.95</v>
      </c>
      <c r="Y28" t="n">
        <v>26071.3</v>
      </c>
      <c r="Z28" t="n">
        <v>25895.85</v>
      </c>
      <c r="AA28" t="n">
        <v>26156.6</v>
      </c>
      <c r="AB28" t="n">
        <v>25805.7</v>
      </c>
      <c r="AC28" t="n">
        <v>26246.75</v>
      </c>
      <c r="AD28" t="n">
        <v>25720.4</v>
      </c>
    </row>
    <row r="29">
      <c r="A29">
        <f>HYPERLINK("../../data/DEC09_DYNAMIC/DEC04/OTM/NIFTY25D0926050CE_strategy.csv", "NIFTY25D0926050CE")</f>
        <v/>
      </c>
      <c r="B29" t="inlineStr">
        <is>
          <t>CE</t>
        </is>
      </c>
      <c r="C29" t="inlineStr">
        <is>
          <t>12:58:01</t>
        </is>
      </c>
      <c r="D29" t="inlineStr">
        <is>
          <t>13:34:00</t>
        </is>
      </c>
      <c r="E29" t="n">
        <v>97.05</v>
      </c>
      <c r="F29" t="n">
        <v>94.94</v>
      </c>
      <c r="G29" t="n">
        <v>135925.16</v>
      </c>
      <c r="H29" t="n">
        <v>167300</v>
      </c>
      <c r="I29" t="n">
        <v>117110</v>
      </c>
      <c r="J29" t="inlineStr">
        <is>
          <t>EXECUTED</t>
        </is>
      </c>
      <c r="K29" t="n">
        <v>12</v>
      </c>
      <c r="L29" t="n">
        <v>-9.07</v>
      </c>
      <c r="M29">
        <f>HYPERLINK("../../data/DEC09_DYNAMIC/DEC04/OTM/NIFTY25D0926050CE_strategy.html", "View")</f>
        <v/>
      </c>
      <c r="N29" t="inlineStr"/>
      <c r="O29" t="inlineStr"/>
      <c r="P29" t="inlineStr">
        <is>
          <t>BULLISH</t>
        </is>
      </c>
      <c r="Q29" t="inlineStr">
        <is>
          <t>INCLUDED (HYBRID_v5_BULLISH_CE)</t>
        </is>
      </c>
      <c r="R29" t="n">
        <v>-2.17</v>
      </c>
      <c r="S29" t="inlineStr">
        <is>
          <t>SuperTrend Stop Loss Exit</t>
        </is>
      </c>
      <c r="T29" t="n">
        <v>0.4575</v>
      </c>
      <c r="U29" t="n">
        <v>0.614</v>
      </c>
      <c r="V29" t="inlineStr">
        <is>
          <t>2025-12-04</t>
        </is>
      </c>
      <c r="W29" t="inlineStr">
        <is>
          <t>Between R1 and S1</t>
        </is>
      </c>
      <c r="X29" t="n">
        <v>26004.05</v>
      </c>
      <c r="Y29" t="n">
        <v>26071.3</v>
      </c>
      <c r="Z29" t="n">
        <v>25895.85</v>
      </c>
      <c r="AA29" t="n">
        <v>26156.6</v>
      </c>
      <c r="AB29" t="n">
        <v>25805.7</v>
      </c>
      <c r="AC29" t="n">
        <v>26246.75</v>
      </c>
      <c r="AD29" t="n">
        <v>25720.4</v>
      </c>
    </row>
    <row r="30">
      <c r="A30">
        <f>HYPERLINK("../../data/DEC09_DYNAMIC/DEC04/OTM/NIFTY25D0926050CE_strategy.csv", "NIFTY25D0926050CE")</f>
        <v/>
      </c>
      <c r="B30" t="inlineStr">
        <is>
          <t>CE</t>
        </is>
      </c>
      <c r="C30" t="inlineStr">
        <is>
          <t>12:26:01</t>
        </is>
      </c>
      <c r="D30" t="inlineStr">
        <is>
          <t>12:43:00</t>
        </is>
      </c>
      <c r="E30" t="n">
        <v>108.8</v>
      </c>
      <c r="F30" t="n">
        <v>100.1</v>
      </c>
      <c r="G30" t="n">
        <v>138940.16</v>
      </c>
      <c r="H30" t="n">
        <v>167300</v>
      </c>
      <c r="I30" t="n">
        <v>117110</v>
      </c>
      <c r="J30" t="inlineStr">
        <is>
          <t>EXECUTED</t>
        </is>
      </c>
      <c r="K30" t="n">
        <v>3.95</v>
      </c>
      <c r="L30" t="n">
        <v>-10.48</v>
      </c>
      <c r="M30">
        <f>HYPERLINK("../../data/DEC09_DYNAMIC/DEC04/OTM/NIFTY25D0926050CE_strategy.html", "View")</f>
        <v/>
      </c>
      <c r="N30" t="inlineStr"/>
      <c r="O30" t="inlineStr"/>
      <c r="P30" t="inlineStr">
        <is>
          <t>NEUTRAL</t>
        </is>
      </c>
      <c r="Q30" t="inlineStr">
        <is>
          <t>INCLUDED</t>
        </is>
      </c>
      <c r="R30" t="n">
        <v>-8</v>
      </c>
      <c r="S30" t="inlineStr">
        <is>
          <t>Fixed Stop Loss</t>
        </is>
      </c>
      <c r="T30" t="n">
        <v>0.4517</v>
      </c>
      <c r="U30" t="inlineStr"/>
      <c r="V30" t="inlineStr">
        <is>
          <t>2025-12-04</t>
        </is>
      </c>
      <c r="W30" t="inlineStr">
        <is>
          <t>Between R1 and S1</t>
        </is>
      </c>
      <c r="X30" t="n">
        <v>26024.5</v>
      </c>
      <c r="Y30" t="n">
        <v>26071.3</v>
      </c>
      <c r="Z30" t="n">
        <v>25895.85</v>
      </c>
      <c r="AA30" t="n">
        <v>26156.6</v>
      </c>
      <c r="AB30" t="n">
        <v>25805.7</v>
      </c>
      <c r="AC30" t="n">
        <v>26246.75</v>
      </c>
      <c r="AD30" t="n">
        <v>25720.4</v>
      </c>
    </row>
    <row r="31">
      <c r="A31">
        <f>HYPERLINK("../../data/DEC09_DYNAMIC/DEC04/OTM/NIFTY25D0926000PE_strategy.csv", "NIFTY25D0926000PE")</f>
        <v/>
      </c>
      <c r="B31" t="inlineStr">
        <is>
          <t>PE</t>
        </is>
      </c>
      <c r="C31" t="inlineStr">
        <is>
          <t>12:12:01</t>
        </is>
      </c>
      <c r="D31" t="inlineStr">
        <is>
          <t>12:32:00</t>
        </is>
      </c>
      <c r="E31" t="n">
        <v>86.09999999999999</v>
      </c>
      <c r="F31" t="n">
        <v>84.90000000000001</v>
      </c>
      <c r="G31" t="n">
        <v>151021.91</v>
      </c>
      <c r="H31" t="n">
        <v>167300</v>
      </c>
      <c r="I31" t="n">
        <v>117110</v>
      </c>
      <c r="J31" t="inlineStr">
        <is>
          <t>EXECUTED</t>
        </is>
      </c>
      <c r="K31" t="n">
        <v>9.35</v>
      </c>
      <c r="L31" t="n">
        <v>-12.37</v>
      </c>
      <c r="M31">
        <f>HYPERLINK("../../data/DEC09_DYNAMIC/DEC04/OTM/NIFTY25D0926000PE_strategy.html", "View")</f>
        <v/>
      </c>
      <c r="N31" t="inlineStr"/>
      <c r="O31" t="inlineStr"/>
      <c r="P31" t="inlineStr">
        <is>
          <t>NEUTRAL</t>
        </is>
      </c>
      <c r="Q31" t="inlineStr">
        <is>
          <t>INCLUDED</t>
        </is>
      </c>
      <c r="R31" t="n">
        <v>-1.39</v>
      </c>
      <c r="S31" t="inlineStr">
        <is>
          <t>Dynamic Trailing MA (Fast/Slow MA)</t>
        </is>
      </c>
      <c r="T31" t="n">
        <v>0.4589</v>
      </c>
      <c r="U31" t="n">
        <v>0.7264</v>
      </c>
      <c r="V31" t="inlineStr">
        <is>
          <t>2025-12-04</t>
        </is>
      </c>
      <c r="W31" t="inlineStr">
        <is>
          <t>Between R1 and S1</t>
        </is>
      </c>
      <c r="X31" t="n">
        <v>26027.3</v>
      </c>
      <c r="Y31" t="n">
        <v>26071.3</v>
      </c>
      <c r="Z31" t="n">
        <v>25895.85</v>
      </c>
      <c r="AA31" t="n">
        <v>26156.6</v>
      </c>
      <c r="AB31" t="n">
        <v>25805.7</v>
      </c>
      <c r="AC31" t="n">
        <v>26246.75</v>
      </c>
      <c r="AD31" t="n">
        <v>25720.4</v>
      </c>
    </row>
    <row r="32">
      <c r="A32">
        <f>HYPERLINK("../../data/DEC09_DYNAMIC/DEC04/OTM/NIFTY25D0926050CE_strategy.csv", "NIFTY25D0926050CE")</f>
        <v/>
      </c>
      <c r="B32" t="inlineStr">
        <is>
          <t>CE</t>
        </is>
      </c>
      <c r="C32" t="inlineStr">
        <is>
          <t>11:50:01</t>
        </is>
      </c>
      <c r="D32" t="inlineStr">
        <is>
          <t>12:20:00</t>
        </is>
      </c>
      <c r="E32" t="n">
        <v>113.45</v>
      </c>
      <c r="F32" t="n">
        <v>104.37</v>
      </c>
      <c r="G32" t="n">
        <v>153150.71</v>
      </c>
      <c r="H32" t="n">
        <v>167300</v>
      </c>
      <c r="I32" t="n">
        <v>117110</v>
      </c>
      <c r="J32" t="inlineStr">
        <is>
          <t>EXECUTED</t>
        </is>
      </c>
      <c r="K32" t="n">
        <v>4.98</v>
      </c>
      <c r="L32" t="n">
        <v>-8.859999999999999</v>
      </c>
      <c r="M32">
        <f>HYPERLINK("../../data/DEC09_DYNAMIC/DEC04/OTM/NIFTY25D0926050CE_strategy.html", "View")</f>
        <v/>
      </c>
      <c r="N32" t="inlineStr"/>
      <c r="O32" t="inlineStr"/>
      <c r="P32" t="inlineStr">
        <is>
          <t>NEUTRAL</t>
        </is>
      </c>
      <c r="Q32" t="inlineStr">
        <is>
          <t>INCLUDED</t>
        </is>
      </c>
      <c r="R32" t="n">
        <v>-8</v>
      </c>
      <c r="S32" t="inlineStr">
        <is>
          <t>Fixed Stop Loss</t>
        </is>
      </c>
      <c r="T32" t="n">
        <v>0.1109</v>
      </c>
      <c r="U32" t="inlineStr"/>
      <c r="V32" t="inlineStr">
        <is>
          <t>2025-12-04</t>
        </is>
      </c>
      <c r="W32" t="inlineStr">
        <is>
          <t>Between R1 and S1</t>
        </is>
      </c>
      <c r="X32" t="n">
        <v>26029.6</v>
      </c>
      <c r="Y32" t="n">
        <v>26071.3</v>
      </c>
      <c r="Z32" t="n">
        <v>25895.85</v>
      </c>
      <c r="AA32" t="n">
        <v>26156.6</v>
      </c>
      <c r="AB32" t="n">
        <v>25805.7</v>
      </c>
      <c r="AC32" t="n">
        <v>26246.75</v>
      </c>
      <c r="AD32" t="n">
        <v>25720.4</v>
      </c>
    </row>
    <row r="33">
      <c r="A33">
        <f>HYPERLINK("../../data/DEC09_DYNAMIC/DEC04/OTM/NIFTY25D0926100CE_strategy.csv", "NIFTY25D0926100CE")</f>
        <v/>
      </c>
      <c r="B33" t="inlineStr">
        <is>
          <t>CE</t>
        </is>
      </c>
      <c r="C33" t="inlineStr">
        <is>
          <t>11:36:01</t>
        </is>
      </c>
      <c r="D33" t="inlineStr">
        <is>
          <t>11:38:00</t>
        </is>
      </c>
      <c r="E33" t="n">
        <v>106.6</v>
      </c>
      <c r="F33" t="n">
        <v>98.06999999999999</v>
      </c>
      <c r="G33" t="n">
        <v>141602.72</v>
      </c>
      <c r="H33" t="n">
        <v>167300</v>
      </c>
      <c r="I33" t="n">
        <v>117110</v>
      </c>
      <c r="J33" t="inlineStr">
        <is>
          <t>EXECUTED</t>
        </is>
      </c>
      <c r="K33" t="n">
        <v>0</v>
      </c>
      <c r="L33" t="n">
        <v>-3.8</v>
      </c>
      <c r="M33">
        <f>HYPERLINK("../../data/DEC09_DYNAMIC/DEC04/OTM/NIFTY25D0926100CE_strategy.html", "View")</f>
        <v/>
      </c>
      <c r="N33" t="inlineStr"/>
      <c r="O33" t="inlineStr"/>
      <c r="P33" t="inlineStr">
        <is>
          <t>NEUTRAL</t>
        </is>
      </c>
      <c r="Q33" t="inlineStr">
        <is>
          <t>INCLUDED</t>
        </is>
      </c>
      <c r="R33" t="n">
        <v>-8</v>
      </c>
      <c r="S33" t="inlineStr">
        <is>
          <t>Fixed Stop Loss</t>
        </is>
      </c>
      <c r="T33" t="n">
        <v>0.412</v>
      </c>
      <c r="U33" t="inlineStr"/>
      <c r="V33" t="inlineStr">
        <is>
          <t>2025-12-04</t>
        </is>
      </c>
      <c r="W33" t="inlineStr">
        <is>
          <t>Between R1 and S1</t>
        </is>
      </c>
      <c r="X33" t="n">
        <v>26060.55</v>
      </c>
      <c r="Y33" t="n">
        <v>26071.3</v>
      </c>
      <c r="Z33" t="n">
        <v>25895.85</v>
      </c>
      <c r="AA33" t="n">
        <v>26156.6</v>
      </c>
      <c r="AB33" t="n">
        <v>25805.7</v>
      </c>
      <c r="AC33" t="n">
        <v>26246.75</v>
      </c>
      <c r="AD33" t="n">
        <v>25720.4</v>
      </c>
    </row>
    <row r="34">
      <c r="A34">
        <f>HYPERLINK("../../data/DEC09_DYNAMIC/DEC04/OTM/NIFTY25D0926100CE_strategy.csv", "NIFTY25D0926100CE")</f>
        <v/>
      </c>
      <c r="B34" t="inlineStr">
        <is>
          <t>CE</t>
        </is>
      </c>
      <c r="C34" t="inlineStr">
        <is>
          <t>11:26:01</t>
        </is>
      </c>
      <c r="D34" t="inlineStr">
        <is>
          <t>11:30:00</t>
        </is>
      </c>
      <c r="E34" t="n">
        <v>110</v>
      </c>
      <c r="F34" t="n">
        <v>101.2</v>
      </c>
      <c r="G34" t="n">
        <v>153916</v>
      </c>
      <c r="H34" t="n">
        <v>167300</v>
      </c>
      <c r="I34" t="n">
        <v>117110</v>
      </c>
      <c r="J34" t="inlineStr">
        <is>
          <t>EXECUTED</t>
        </is>
      </c>
      <c r="K34" t="n">
        <v>0</v>
      </c>
      <c r="L34" t="n">
        <v>-7.91</v>
      </c>
      <c r="M34">
        <f>HYPERLINK("../../data/DEC09_DYNAMIC/DEC04/OTM/NIFTY25D0926100CE_strategy.html", "View")</f>
        <v/>
      </c>
      <c r="N34" t="inlineStr"/>
      <c r="O34" t="inlineStr"/>
      <c r="P34" t="inlineStr">
        <is>
          <t>NEUTRAL</t>
        </is>
      </c>
      <c r="Q34" t="inlineStr">
        <is>
          <t>INCLUDED</t>
        </is>
      </c>
      <c r="R34" t="n">
        <v>-8</v>
      </c>
      <c r="S34" t="inlineStr">
        <is>
          <t>Fixed Stop Loss</t>
        </is>
      </c>
      <c r="T34" t="n">
        <v>0.3507</v>
      </c>
      <c r="U34" t="inlineStr"/>
      <c r="V34" t="inlineStr">
        <is>
          <t>2025-12-04</t>
        </is>
      </c>
      <c r="W34" t="inlineStr">
        <is>
          <t>Between R1 and S1</t>
        </is>
      </c>
      <c r="X34" t="n">
        <v>26066.15</v>
      </c>
      <c r="Y34" t="n">
        <v>26071.3</v>
      </c>
      <c r="Z34" t="n">
        <v>25895.85</v>
      </c>
      <c r="AA34" t="n">
        <v>26156.6</v>
      </c>
      <c r="AB34" t="n">
        <v>25805.7</v>
      </c>
      <c r="AC34" t="n">
        <v>26246.75</v>
      </c>
      <c r="AD34" t="n">
        <v>25720.4</v>
      </c>
    </row>
    <row r="35">
      <c r="A35">
        <f>HYPERLINK("../../data/DEC09_DYNAMIC/DEC04/OTM/NIFTY25D0926000CE_strategy.csv", "NIFTY25D0926000CE")</f>
        <v/>
      </c>
      <c r="B35" t="inlineStr">
        <is>
          <t>CE</t>
        </is>
      </c>
      <c r="C35" t="inlineStr">
        <is>
          <t>09:23:01</t>
        </is>
      </c>
      <c r="D35" t="inlineStr">
        <is>
          <t>10:56:00</t>
        </is>
      </c>
      <c r="E35" t="n">
        <v>108.4</v>
      </c>
      <c r="F35" t="n">
        <v>181.35</v>
      </c>
      <c r="G35" t="n">
        <v>167300</v>
      </c>
      <c r="H35" t="n">
        <v>167300</v>
      </c>
      <c r="I35" t="n">
        <v>117110</v>
      </c>
      <c r="J35" t="inlineStr">
        <is>
          <t>EXECUTED</t>
        </is>
      </c>
      <c r="K35" t="n">
        <v>78.18000000000001</v>
      </c>
      <c r="L35" t="n">
        <v>-8.630000000000001</v>
      </c>
      <c r="M35">
        <f>HYPERLINK("../../data/DEC09_DYNAMIC/DEC04/OTM/NIFTY25D0926000CE_strategy.html", "View")</f>
        <v/>
      </c>
      <c r="N35" t="inlineStr"/>
      <c r="O35" t="inlineStr"/>
      <c r="P35" t="inlineStr">
        <is>
          <t>BULLISH</t>
        </is>
      </c>
      <c r="Q35" t="inlineStr">
        <is>
          <t>INCLUDED (HYBRID_v5_BULLISH_CE)</t>
        </is>
      </c>
      <c r="R35" t="n">
        <v>67.3</v>
      </c>
      <c r="S35" t="inlineStr">
        <is>
          <t>Dynamic Trailing MA (Fast/Slow MA)</t>
        </is>
      </c>
      <c r="T35" t="n">
        <v>0.363</v>
      </c>
      <c r="U35" t="n">
        <v>0.4123</v>
      </c>
      <c r="V35" t="inlineStr">
        <is>
          <t>2025-12-04</t>
        </is>
      </c>
      <c r="W35" t="inlineStr">
        <is>
          <t>Between R1 and S1</t>
        </is>
      </c>
      <c r="X35" t="n">
        <v>25985.45</v>
      </c>
      <c r="Y35" t="n">
        <v>26071.3</v>
      </c>
      <c r="Z35" t="n">
        <v>25895.85</v>
      </c>
      <c r="AA35" t="n">
        <v>26156.6</v>
      </c>
      <c r="AB35" t="n">
        <v>25805.7</v>
      </c>
      <c r="AC35" t="n">
        <v>26246.75</v>
      </c>
      <c r="AD35" t="n">
        <v>25720.4</v>
      </c>
    </row>
    <row r="36">
      <c r="A36">
        <f>HYPERLINK("../../data/DEC09_DYNAMIC/DEC05/OTM/NIFTY25D0926050CE_strategy.csv", "NIFTY25D0926050CE")</f>
        <v/>
      </c>
      <c r="B36" t="inlineStr">
        <is>
          <t>CE</t>
        </is>
      </c>
      <c r="C36" t="inlineStr">
        <is>
          <t>10:04:01</t>
        </is>
      </c>
      <c r="D36" t="inlineStr">
        <is>
          <t>10:28:00</t>
        </is>
      </c>
      <c r="E36" t="n">
        <v>119.75</v>
      </c>
      <c r="F36" t="n">
        <v>134.64</v>
      </c>
      <c r="G36" t="n">
        <v>101842.69</v>
      </c>
      <c r="H36" t="n">
        <v>101842.69</v>
      </c>
      <c r="I36" t="n">
        <v>71289.88</v>
      </c>
      <c r="J36" t="inlineStr">
        <is>
          <t>EXECUTED</t>
        </is>
      </c>
      <c r="K36" t="n">
        <v>37.79</v>
      </c>
      <c r="L36" t="n">
        <v>-22.17</v>
      </c>
      <c r="M36">
        <f>HYPERLINK("../../data/DEC09_DYNAMIC/DEC05/OTM/NIFTY25D0926050CE_strategy.html", "View")</f>
        <v/>
      </c>
      <c r="N36" t="inlineStr"/>
      <c r="O36" t="inlineStr"/>
      <c r="P36" t="inlineStr">
        <is>
          <t>BULLISH</t>
        </is>
      </c>
      <c r="Q36" t="inlineStr">
        <is>
          <t>INCLUDED (HYBRID_v5_BULLISH_CE)</t>
        </is>
      </c>
      <c r="R36" t="n">
        <v>12.43</v>
      </c>
      <c r="S36" t="inlineStr">
        <is>
          <t>SuperTrend Stop Loss Exit</t>
        </is>
      </c>
      <c r="T36" t="n">
        <v>0.6458</v>
      </c>
      <c r="U36" t="n">
        <v>0.6632</v>
      </c>
      <c r="V36" t="inlineStr">
        <is>
          <t>2025-12-05</t>
        </is>
      </c>
      <c r="W36" t="inlineStr">
        <is>
          <t>Between R1 and S1</t>
        </is>
      </c>
      <c r="X36" t="n">
        <v>26085.15</v>
      </c>
      <c r="Y36" t="n">
        <v>26108.35</v>
      </c>
      <c r="Z36" t="n">
        <v>25949.05</v>
      </c>
      <c r="AA36" t="n">
        <v>26182.95</v>
      </c>
      <c r="AB36" t="n">
        <v>25864.35</v>
      </c>
      <c r="AC36" t="n">
        <v>26267.65</v>
      </c>
      <c r="AD36" t="n">
        <v>25789.75</v>
      </c>
    </row>
    <row r="37">
      <c r="A37">
        <f>HYPERLINK("../../data/DEC09_DYNAMIC/DEC05/OTM/NIFTY25D0926050PE_strategy.csv", "NIFTY25D0926050PE")</f>
        <v/>
      </c>
      <c r="B37" t="inlineStr">
        <is>
          <t>PE</t>
        </is>
      </c>
      <c r="C37" t="inlineStr">
        <is>
          <t>09:52:01</t>
        </is>
      </c>
      <c r="D37" t="inlineStr">
        <is>
          <t>10:03:00</t>
        </is>
      </c>
      <c r="E37" t="n">
        <v>87.7</v>
      </c>
      <c r="F37" t="n">
        <v>86.34999999999999</v>
      </c>
      <c r="G37" t="n">
        <v>90583.2</v>
      </c>
      <c r="H37" t="n">
        <v>100000</v>
      </c>
      <c r="I37" t="n">
        <v>70000</v>
      </c>
      <c r="J37" t="inlineStr">
        <is>
          <t>EXECUTED</t>
        </is>
      </c>
      <c r="K37" t="n">
        <v>21.61</v>
      </c>
      <c r="L37" t="n">
        <v>-8.44</v>
      </c>
      <c r="M37">
        <f>HYPERLINK("../../data/DEC09_DYNAMIC/DEC05/OTM/NIFTY25D0926050PE_strategy.html", "View")</f>
        <v/>
      </c>
      <c r="N37" t="inlineStr"/>
      <c r="O37" t="inlineStr"/>
      <c r="P37" t="inlineStr">
        <is>
          <t>BEARISH</t>
        </is>
      </c>
      <c r="Q37" t="inlineStr">
        <is>
          <t>INCLUDED (HYBRID_v5_BEARISH_PE)</t>
        </is>
      </c>
      <c r="R37" t="n">
        <v>-1.54</v>
      </c>
      <c r="S37" t="inlineStr">
        <is>
          <t>SuperTrend Stop Loss Exit</t>
        </is>
      </c>
      <c r="T37" t="n">
        <v>0.3115</v>
      </c>
      <c r="U37" t="n">
        <v>0.5939</v>
      </c>
      <c r="V37" t="inlineStr">
        <is>
          <t>2025-12-05</t>
        </is>
      </c>
      <c r="W37" t="inlineStr">
        <is>
          <t>Between R1 and S1</t>
        </is>
      </c>
      <c r="X37" t="n">
        <v>26051.4</v>
      </c>
      <c r="Y37" t="n">
        <v>26108.35</v>
      </c>
      <c r="Z37" t="n">
        <v>25949.05</v>
      </c>
      <c r="AA37" t="n">
        <v>26182.95</v>
      </c>
      <c r="AB37" t="n">
        <v>25864.35</v>
      </c>
      <c r="AC37" t="n">
        <v>26267.65</v>
      </c>
      <c r="AD37" t="n">
        <v>25789.75</v>
      </c>
    </row>
    <row r="38">
      <c r="A38">
        <f>HYPERLINK("../../data/DEC09_DYNAMIC/DEC05/OTM/NIFTY25D0926000PE_strategy.csv", "NIFTY25D0926000PE")</f>
        <v/>
      </c>
      <c r="B38" t="inlineStr">
        <is>
          <t>PE</t>
        </is>
      </c>
      <c r="C38" t="inlineStr">
        <is>
          <t>09:38:01</t>
        </is>
      </c>
      <c r="D38" t="inlineStr">
        <is>
          <t>09:41:00</t>
        </is>
      </c>
      <c r="E38" t="n">
        <v>74.75</v>
      </c>
      <c r="F38" t="n">
        <v>68.77</v>
      </c>
      <c r="G38" t="n">
        <v>92000</v>
      </c>
      <c r="H38" t="n">
        <v>100000</v>
      </c>
      <c r="I38" t="n">
        <v>70000</v>
      </c>
      <c r="J38" t="inlineStr">
        <is>
          <t>EXECUTED</t>
        </is>
      </c>
      <c r="K38" t="n">
        <v>0</v>
      </c>
      <c r="L38" t="n">
        <v>-15.38</v>
      </c>
      <c r="M38">
        <f>HYPERLINK("../../data/DEC09_DYNAMIC/DEC05/OTM/NIFTY25D0926000PE_strategy.html", "View")</f>
        <v/>
      </c>
      <c r="N38" t="inlineStr"/>
      <c r="O38" t="inlineStr"/>
      <c r="P38" t="inlineStr">
        <is>
          <t>NEUTRAL</t>
        </is>
      </c>
      <c r="Q38" t="inlineStr">
        <is>
          <t>INCLUDED</t>
        </is>
      </c>
      <c r="R38" t="n">
        <v>-8</v>
      </c>
      <c r="S38" t="inlineStr">
        <is>
          <t>Fixed Stop Loss</t>
        </is>
      </c>
      <c r="T38" t="n">
        <v>0.3782</v>
      </c>
      <c r="U38" t="inlineStr"/>
      <c r="V38" t="inlineStr">
        <is>
          <t>2025-12-05</t>
        </is>
      </c>
      <c r="W38" t="inlineStr">
        <is>
          <t>Between R1 and S1</t>
        </is>
      </c>
      <c r="X38" t="n">
        <v>26033.55</v>
      </c>
      <c r="Y38" t="n">
        <v>26108.35</v>
      </c>
      <c r="Z38" t="n">
        <v>25949.05</v>
      </c>
      <c r="AA38" t="n">
        <v>26182.95</v>
      </c>
      <c r="AB38" t="n">
        <v>25864.35</v>
      </c>
      <c r="AC38" t="n">
        <v>26267.65</v>
      </c>
      <c r="AD38" t="n">
        <v>25789.75</v>
      </c>
    </row>
    <row r="39">
      <c r="A39">
        <f>HYPERLINK("../../data/DEC09_DYNAMIC/DEC08/OTM/NIFTY25D0926050PE_strategy.csv", "NIFTY25D0926050PE")</f>
        <v/>
      </c>
      <c r="B39" t="inlineStr">
        <is>
          <t>PE</t>
        </is>
      </c>
      <c r="C39" t="inlineStr">
        <is>
          <t>11:55:01</t>
        </is>
      </c>
      <c r="D39" t="inlineStr">
        <is>
          <t>12:54:00</t>
        </is>
      </c>
      <c r="E39" t="n">
        <v>46.2</v>
      </c>
      <c r="F39" t="n">
        <v>62.15</v>
      </c>
      <c r="G39" t="n">
        <v>96263.17</v>
      </c>
      <c r="H39" t="n">
        <v>100000</v>
      </c>
      <c r="I39" t="n">
        <v>70000</v>
      </c>
      <c r="J39" t="inlineStr">
        <is>
          <t>EXECUTED</t>
        </is>
      </c>
      <c r="K39" t="n">
        <v>45.02</v>
      </c>
      <c r="L39" t="n">
        <v>-10.39</v>
      </c>
      <c r="M39">
        <f>HYPERLINK("../../data/DEC09_DYNAMIC/DEC08/OTM/NIFTY25D0926050PE_strategy.html", "View")</f>
        <v/>
      </c>
      <c r="N39" t="inlineStr"/>
      <c r="O39" t="inlineStr"/>
      <c r="P39" t="inlineStr">
        <is>
          <t>BEARISH</t>
        </is>
      </c>
      <c r="Q39" t="inlineStr">
        <is>
          <t>INCLUDED (HYBRID_v5_BEARISH_PE)</t>
        </is>
      </c>
      <c r="R39" t="n">
        <v>34.52</v>
      </c>
      <c r="S39" t="inlineStr">
        <is>
          <t>Dynamic Trailing MA (Fast/Slow MA)</t>
        </is>
      </c>
      <c r="T39" t="n">
        <v>0.5448</v>
      </c>
      <c r="U39" t="n">
        <v>0.6821</v>
      </c>
      <c r="V39" t="inlineStr">
        <is>
          <t>2025-12-08</t>
        </is>
      </c>
      <c r="W39" t="inlineStr">
        <is>
          <t>Between R1 and S1</t>
        </is>
      </c>
      <c r="X39" t="n">
        <v>26061.55</v>
      </c>
      <c r="Y39" t="n">
        <v>26264.25</v>
      </c>
      <c r="Z39" t="n">
        <v>26047</v>
      </c>
      <c r="AA39" t="n">
        <v>26342.05</v>
      </c>
      <c r="AB39" t="n">
        <v>25907.55</v>
      </c>
      <c r="AC39" t="n">
        <v>26481.5</v>
      </c>
      <c r="AD39" t="n">
        <v>25829.75</v>
      </c>
    </row>
    <row r="40">
      <c r="A40">
        <f>HYPERLINK("../../data/DEC09_DYNAMIC/DEC08/OTM/NIFTY25D0926050PE_strategy.csv", "NIFTY25D0926050PE")</f>
        <v/>
      </c>
      <c r="B40" t="inlineStr">
        <is>
          <t>PE</t>
        </is>
      </c>
      <c r="C40" t="inlineStr">
        <is>
          <t>10:59:01</t>
        </is>
      </c>
      <c r="D40" t="inlineStr">
        <is>
          <t>11:17:00</t>
        </is>
      </c>
      <c r="E40" t="n">
        <v>46.85</v>
      </c>
      <c r="F40" t="n">
        <v>46.8</v>
      </c>
      <c r="G40" t="n">
        <v>77783.14</v>
      </c>
      <c r="H40" t="n">
        <v>100000</v>
      </c>
      <c r="I40" t="n">
        <v>70000</v>
      </c>
      <c r="J40" t="inlineStr">
        <is>
          <t>EXECUTED</t>
        </is>
      </c>
      <c r="K40" t="n">
        <v>16.97</v>
      </c>
      <c r="L40" t="n">
        <v>-18.14</v>
      </c>
      <c r="M40">
        <f>HYPERLINK("../../data/DEC09_DYNAMIC/DEC08/OTM/NIFTY25D0926050PE_strategy.html", "View")</f>
        <v/>
      </c>
      <c r="N40" t="inlineStr"/>
      <c r="O40" t="inlineStr"/>
      <c r="P40" t="inlineStr">
        <is>
          <t>BEARISH</t>
        </is>
      </c>
      <c r="Q40" t="inlineStr">
        <is>
          <t>INCLUDED (HYBRID_v5_BEARISH_PE)</t>
        </is>
      </c>
      <c r="R40" t="n">
        <v>-0.11</v>
      </c>
      <c r="S40" t="inlineStr">
        <is>
          <t>Dynamic Trailing MA (Fast/Slow MA)</t>
        </is>
      </c>
      <c r="T40" t="n">
        <v>0.6951000000000001</v>
      </c>
      <c r="U40" t="n">
        <v>0.7045</v>
      </c>
      <c r="V40" t="inlineStr">
        <is>
          <t>2025-12-08</t>
        </is>
      </c>
      <c r="W40" t="inlineStr">
        <is>
          <t>Between R1 and S1</t>
        </is>
      </c>
      <c r="X40" t="n">
        <v>26070.4</v>
      </c>
      <c r="Y40" t="n">
        <v>26264.25</v>
      </c>
      <c r="Z40" t="n">
        <v>26047</v>
      </c>
      <c r="AA40" t="n">
        <v>26342.05</v>
      </c>
      <c r="AB40" t="n">
        <v>25907.55</v>
      </c>
      <c r="AC40" t="n">
        <v>26481.5</v>
      </c>
      <c r="AD40" t="n">
        <v>25829.75</v>
      </c>
    </row>
    <row r="41">
      <c r="A41">
        <f>HYPERLINK("../../data/DEC09_DYNAMIC/DEC08/OTM/NIFTY25D0926100CE_strategy.csv", "NIFTY25D0926100CE")</f>
        <v/>
      </c>
      <c r="B41" t="inlineStr">
        <is>
          <t>CE</t>
        </is>
      </c>
      <c r="C41" t="inlineStr">
        <is>
          <t>10:57:01</t>
        </is>
      </c>
      <c r="D41" t="inlineStr">
        <is>
          <t>10:58:00</t>
        </is>
      </c>
      <c r="E41" t="n">
        <v>82.2</v>
      </c>
      <c r="F41" t="n">
        <v>75.62</v>
      </c>
      <c r="G41" t="n">
        <v>77868.8</v>
      </c>
      <c r="H41" t="n">
        <v>100000</v>
      </c>
      <c r="I41" t="n">
        <v>70000</v>
      </c>
      <c r="J41" t="inlineStr">
        <is>
          <t>EXECUTED</t>
        </is>
      </c>
      <c r="K41" t="n">
        <v>0</v>
      </c>
      <c r="L41" t="n">
        <v>-12.47</v>
      </c>
      <c r="M41">
        <f>HYPERLINK("../../data/DEC09_DYNAMIC/DEC08/OTM/NIFTY25D0926100CE_strategy.html", "View")</f>
        <v/>
      </c>
      <c r="N41" t="inlineStr"/>
      <c r="O41" t="inlineStr"/>
      <c r="P41" t="inlineStr">
        <is>
          <t>BULLISH</t>
        </is>
      </c>
      <c r="Q41" t="inlineStr">
        <is>
          <t>INCLUDED (HYBRID_v5_BULLISH_CE)</t>
        </is>
      </c>
      <c r="R41" t="n">
        <v>-8</v>
      </c>
      <c r="S41" t="inlineStr">
        <is>
          <t>Fixed Stop Loss</t>
        </is>
      </c>
      <c r="T41" t="n">
        <v>0.5387999999999999</v>
      </c>
      <c r="U41" t="inlineStr"/>
      <c r="V41" t="inlineStr">
        <is>
          <t>2025-12-08</t>
        </is>
      </c>
      <c r="W41" t="inlineStr">
        <is>
          <t>Between R1 and S1</t>
        </is>
      </c>
      <c r="X41" t="n">
        <v>26087.85</v>
      </c>
      <c r="Y41" t="n">
        <v>26264.25</v>
      </c>
      <c r="Z41" t="n">
        <v>26047</v>
      </c>
      <c r="AA41" t="n">
        <v>26342.05</v>
      </c>
      <c r="AB41" t="n">
        <v>25907.55</v>
      </c>
      <c r="AC41" t="n">
        <v>26481.5</v>
      </c>
      <c r="AD41" t="n">
        <v>25829.75</v>
      </c>
    </row>
    <row r="42">
      <c r="A42">
        <f>HYPERLINK("../../data/DEC09_DYNAMIC/DEC08/OTM/NIFTY25D0926100CE_strategy.csv", "NIFTY25D0926100CE")</f>
        <v/>
      </c>
      <c r="B42" t="inlineStr">
        <is>
          <t>CE</t>
        </is>
      </c>
      <c r="C42" t="inlineStr">
        <is>
          <t>10:45:01</t>
        </is>
      </c>
      <c r="D42" t="inlineStr">
        <is>
          <t>10:48:00</t>
        </is>
      </c>
      <c r="E42" t="n">
        <v>80.05</v>
      </c>
      <c r="F42" t="n">
        <v>73.65000000000001</v>
      </c>
      <c r="G42" t="n">
        <v>84640</v>
      </c>
      <c r="H42" t="n">
        <v>100000</v>
      </c>
      <c r="I42" t="n">
        <v>70000</v>
      </c>
      <c r="J42" t="inlineStr">
        <is>
          <t>EXECUTED</t>
        </is>
      </c>
      <c r="K42" t="n">
        <v>1.81</v>
      </c>
      <c r="L42" t="n">
        <v>-7.56</v>
      </c>
      <c r="M42">
        <f>HYPERLINK("../../data/DEC09_DYNAMIC/DEC08/OTM/NIFTY25D0926100CE_strategy.html", "View")</f>
        <v/>
      </c>
      <c r="N42" t="inlineStr"/>
      <c r="O42" t="inlineStr"/>
      <c r="P42" t="inlineStr">
        <is>
          <t>BULLISH</t>
        </is>
      </c>
      <c r="Q42" t="inlineStr">
        <is>
          <t>INCLUDED (HYBRID_v5_BULLISH_CE)</t>
        </is>
      </c>
      <c r="R42" t="n">
        <v>-8</v>
      </c>
      <c r="S42" t="inlineStr">
        <is>
          <t>Fixed Stop Loss</t>
        </is>
      </c>
      <c r="T42" t="n">
        <v>0.5705</v>
      </c>
      <c r="U42" t="inlineStr"/>
      <c r="V42" t="inlineStr">
        <is>
          <t>2025-12-08</t>
        </is>
      </c>
      <c r="W42" t="inlineStr">
        <is>
          <t>Between R1 and S1</t>
        </is>
      </c>
      <c r="X42" t="n">
        <v>26100.8</v>
      </c>
      <c r="Y42" t="n">
        <v>26264.25</v>
      </c>
      <c r="Z42" t="n">
        <v>26047</v>
      </c>
      <c r="AA42" t="n">
        <v>26342.05</v>
      </c>
      <c r="AB42" t="n">
        <v>25907.55</v>
      </c>
      <c r="AC42" t="n">
        <v>26481.5</v>
      </c>
      <c r="AD42" t="n">
        <v>25829.75</v>
      </c>
    </row>
    <row r="43">
      <c r="A43">
        <f>HYPERLINK("../../data/DEC09_DYNAMIC/DEC08/OTM/NIFTY25D0926200CE_strategy.csv", "NIFTY25D0926200CE")</f>
        <v/>
      </c>
      <c r="B43" t="inlineStr">
        <is>
          <t>CE</t>
        </is>
      </c>
      <c r="C43" t="inlineStr">
        <is>
          <t>09:24:01</t>
        </is>
      </c>
      <c r="D43" t="inlineStr">
        <is>
          <t>09:25:00</t>
        </is>
      </c>
      <c r="E43" t="n">
        <v>67.65000000000001</v>
      </c>
      <c r="F43" t="n">
        <v>62.24</v>
      </c>
      <c r="G43" t="n">
        <v>92000</v>
      </c>
      <c r="H43" t="n">
        <v>100000</v>
      </c>
      <c r="I43" t="n">
        <v>70000</v>
      </c>
      <c r="J43" t="inlineStr">
        <is>
          <t>EXECUTED</t>
        </is>
      </c>
      <c r="K43" t="n">
        <v>0</v>
      </c>
      <c r="L43" t="n">
        <v>-18.7</v>
      </c>
      <c r="M43">
        <f>HYPERLINK("../../data/DEC09_DYNAMIC/DEC08/OTM/NIFTY25D0926200CE_strategy.html", "View")</f>
        <v/>
      </c>
      <c r="N43" t="inlineStr"/>
      <c r="O43" t="inlineStr"/>
      <c r="P43" t="inlineStr">
        <is>
          <t>BULLISH</t>
        </is>
      </c>
      <c r="Q43" t="inlineStr">
        <is>
          <t>INCLUDED (HYBRID_v5_BULLISH_CE)</t>
        </is>
      </c>
      <c r="R43" t="n">
        <v>-8</v>
      </c>
      <c r="S43" t="inlineStr">
        <is>
          <t>Fixed Stop Loss</t>
        </is>
      </c>
      <c r="T43" t="n">
        <v>0.4115</v>
      </c>
      <c r="U43" t="inlineStr"/>
      <c r="V43" t="inlineStr">
        <is>
          <t>2025-12-08</t>
        </is>
      </c>
      <c r="W43" t="inlineStr">
        <is>
          <t>Between R1 and S1</t>
        </is>
      </c>
      <c r="X43" t="n">
        <v>26167.95</v>
      </c>
      <c r="Y43" t="n">
        <v>26264.25</v>
      </c>
      <c r="Z43" t="n">
        <v>26047</v>
      </c>
      <c r="AA43" t="n">
        <v>26342.05</v>
      </c>
      <c r="AB43" t="n">
        <v>25907.55</v>
      </c>
      <c r="AC43" t="n">
        <v>26481.5</v>
      </c>
      <c r="AD43" t="n">
        <v>25829.75</v>
      </c>
    </row>
    <row r="44">
      <c r="A44">
        <f>HYPERLINK("../../data/DEC16_DYNAMIC/DEC10/OTM/NIFTY25D1625750PE_strategy.csv", "NIFTY25D1625750PE")</f>
        <v/>
      </c>
      <c r="B44" t="inlineStr">
        <is>
          <t>PE</t>
        </is>
      </c>
      <c r="C44" t="inlineStr">
        <is>
          <t>14:39:01</t>
        </is>
      </c>
      <c r="D44" t="inlineStr">
        <is>
          <t>14:51:00</t>
        </is>
      </c>
      <c r="E44" t="n">
        <v>110</v>
      </c>
      <c r="F44" t="n">
        <v>108.85</v>
      </c>
      <c r="G44" t="n">
        <v>157358.64</v>
      </c>
      <c r="H44" t="n">
        <v>162738.88</v>
      </c>
      <c r="I44" t="n">
        <v>113917.22</v>
      </c>
      <c r="J44" t="inlineStr">
        <is>
          <t>EXECUTED</t>
        </is>
      </c>
      <c r="K44" t="n">
        <v>4.09</v>
      </c>
      <c r="L44" t="n">
        <v>-10.91</v>
      </c>
      <c r="M44">
        <f>HYPERLINK("../../data/DEC16_DYNAMIC/DEC10/OTM/NIFTY25D1625750PE_strategy.html", "View")</f>
        <v/>
      </c>
      <c r="N44" t="inlineStr"/>
      <c r="O44" t="inlineStr"/>
      <c r="P44" t="inlineStr">
        <is>
          <t>BEARISH</t>
        </is>
      </c>
      <c r="Q44" t="inlineStr">
        <is>
          <t>INCLUDED (HYBRID_v5_BEARISH_PE)</t>
        </is>
      </c>
      <c r="R44" t="n">
        <v>-1.05</v>
      </c>
      <c r="S44" t="inlineStr">
        <is>
          <t>EOD Exit</t>
        </is>
      </c>
      <c r="T44" t="n">
        <v>0.4549</v>
      </c>
      <c r="U44" t="inlineStr"/>
      <c r="V44" t="inlineStr">
        <is>
          <t>2025-12-10</t>
        </is>
      </c>
      <c r="W44" t="inlineStr">
        <is>
          <t>Between R1 and S1</t>
        </is>
      </c>
      <c r="X44" t="n">
        <v>25763.4</v>
      </c>
      <c r="Y44" t="n">
        <v>25932.87</v>
      </c>
      <c r="Z44" t="n">
        <v>25737.22</v>
      </c>
      <c r="AA44" t="n">
        <v>26026.08</v>
      </c>
      <c r="AB44" t="n">
        <v>25634.78</v>
      </c>
      <c r="AC44" t="n">
        <v>26128.52</v>
      </c>
      <c r="AD44" t="n">
        <v>25541.57</v>
      </c>
    </row>
    <row r="45">
      <c r="A45">
        <f>HYPERLINK("../../data/DEC16_DYNAMIC/DEC10/OTM/NIFTY25D1625800CE_strategy.csv", "NIFTY25D1625800CE")</f>
        <v/>
      </c>
      <c r="B45" t="inlineStr">
        <is>
          <t>CE</t>
        </is>
      </c>
      <c r="C45" t="inlineStr">
        <is>
          <t>14:33:01</t>
        </is>
      </c>
      <c r="D45" t="inlineStr">
        <is>
          <t>14:51:00</t>
        </is>
      </c>
      <c r="E45" t="n">
        <v>125.15</v>
      </c>
      <c r="F45" t="n">
        <v>122.3</v>
      </c>
      <c r="G45" t="n">
        <v>159028.44</v>
      </c>
      <c r="H45" t="n">
        <v>162738.88</v>
      </c>
      <c r="I45" t="n">
        <v>113917.22</v>
      </c>
      <c r="J45" t="inlineStr">
        <is>
          <t>EXECUTED</t>
        </is>
      </c>
      <c r="K45" t="n">
        <v>5.47</v>
      </c>
      <c r="L45" t="n">
        <v>-9.109999999999999</v>
      </c>
      <c r="M45">
        <f>HYPERLINK("../../data/DEC16_DYNAMIC/DEC10/OTM/NIFTY25D1625800CE_strategy.html", "View")</f>
        <v/>
      </c>
      <c r="N45" t="inlineStr"/>
      <c r="O45" t="inlineStr"/>
      <c r="P45" t="inlineStr">
        <is>
          <t>BULLISH</t>
        </is>
      </c>
      <c r="Q45" t="inlineStr">
        <is>
          <t>INCLUDED (HYBRID_v5_BULLISH_CE)</t>
        </is>
      </c>
      <c r="R45" t="n">
        <v>-2.28</v>
      </c>
      <c r="S45" t="inlineStr">
        <is>
          <t>EOD Exit</t>
        </is>
      </c>
      <c r="T45" t="n">
        <v>0.5649</v>
      </c>
      <c r="U45" t="inlineStr"/>
      <c r="V45" t="inlineStr">
        <is>
          <t>2025-12-10</t>
        </is>
      </c>
      <c r="W45" t="inlineStr">
        <is>
          <t>Between R1 and S1</t>
        </is>
      </c>
      <c r="X45" t="n">
        <v>25781.85</v>
      </c>
      <c r="Y45" t="n">
        <v>25932.87</v>
      </c>
      <c r="Z45" t="n">
        <v>25737.22</v>
      </c>
      <c r="AA45" t="n">
        <v>26026.08</v>
      </c>
      <c r="AB45" t="n">
        <v>25634.78</v>
      </c>
      <c r="AC45" t="n">
        <v>26128.52</v>
      </c>
      <c r="AD45" t="n">
        <v>25541.57</v>
      </c>
    </row>
    <row r="46">
      <c r="A46">
        <f>HYPERLINK("../../data/DEC16_DYNAMIC/DEC10/OTM/NIFTY25D1625800PE_strategy.csv", "NIFTY25D1625800PE")</f>
        <v/>
      </c>
      <c r="B46" t="inlineStr">
        <is>
          <t>PE</t>
        </is>
      </c>
      <c r="C46" t="inlineStr">
        <is>
          <t>13:44:01</t>
        </is>
      </c>
      <c r="D46" t="inlineStr">
        <is>
          <t>14:33:00</t>
        </is>
      </c>
      <c r="E46" t="n">
        <v>100.85</v>
      </c>
      <c r="F46" t="n">
        <v>125.46</v>
      </c>
      <c r="G46" t="n">
        <v>162738.88</v>
      </c>
      <c r="H46" t="n">
        <v>162738.88</v>
      </c>
      <c r="I46" t="n">
        <v>113917.22</v>
      </c>
      <c r="J46" t="inlineStr">
        <is>
          <t>EXECUTED</t>
        </is>
      </c>
      <c r="K46" t="n">
        <v>44.77</v>
      </c>
      <c r="L46" t="n">
        <v>-8.18</v>
      </c>
      <c r="M46">
        <f>HYPERLINK("../../data/DEC16_DYNAMIC/DEC10/OTM/NIFTY25D1625800PE_strategy.html", "View")</f>
        <v/>
      </c>
      <c r="N46" t="inlineStr"/>
      <c r="O46" t="inlineStr"/>
      <c r="P46" t="inlineStr">
        <is>
          <t>NEUTRAL</t>
        </is>
      </c>
      <c r="Q46" t="inlineStr">
        <is>
          <t>INCLUDED</t>
        </is>
      </c>
      <c r="R46" t="n">
        <v>24.4</v>
      </c>
      <c r="S46" t="inlineStr">
        <is>
          <t>SuperTrend Stop Loss Exit</t>
        </is>
      </c>
      <c r="T46" t="n">
        <v>0.623</v>
      </c>
      <c r="U46" t="n">
        <v>0.9313</v>
      </c>
      <c r="V46" t="inlineStr">
        <is>
          <t>2025-12-10</t>
        </is>
      </c>
      <c r="W46" t="inlineStr">
        <is>
          <t>Between R1 and S1</t>
        </is>
      </c>
      <c r="X46" t="n">
        <v>25825.05</v>
      </c>
      <c r="Y46" t="n">
        <v>25932.87</v>
      </c>
      <c r="Z46" t="n">
        <v>25737.22</v>
      </c>
      <c r="AA46" t="n">
        <v>26026.08</v>
      </c>
      <c r="AB46" t="n">
        <v>25634.78</v>
      </c>
      <c r="AC46" t="n">
        <v>26128.52</v>
      </c>
      <c r="AD46" t="n">
        <v>25541.57</v>
      </c>
    </row>
    <row r="47">
      <c r="A47">
        <f>HYPERLINK("../../data/DEC16_DYNAMIC/DEC10/OTM/NIFTY25D1625800CE_strategy.csv", "NIFTY25D1625800CE")</f>
        <v/>
      </c>
      <c r="B47" t="inlineStr">
        <is>
          <t>CE</t>
        </is>
      </c>
      <c r="C47" t="inlineStr">
        <is>
          <t>12:48:01</t>
        </is>
      </c>
      <c r="D47" t="inlineStr">
        <is>
          <t>13:45:00</t>
        </is>
      </c>
      <c r="E47" t="n">
        <v>137.65</v>
      </c>
      <c r="F47" t="n">
        <v>154.36</v>
      </c>
      <c r="G47" t="n">
        <v>130819.04</v>
      </c>
      <c r="H47" t="n">
        <v>130819.04</v>
      </c>
      <c r="I47" t="n">
        <v>91573.33</v>
      </c>
      <c r="J47" t="inlineStr">
        <is>
          <t>EXECUTED</t>
        </is>
      </c>
      <c r="K47" t="n">
        <v>25.97</v>
      </c>
      <c r="L47" t="n">
        <v>-6.28</v>
      </c>
      <c r="M47">
        <f>HYPERLINK("../../data/DEC16_DYNAMIC/DEC10/OTM/NIFTY25D1625800CE_strategy.html", "View")</f>
        <v/>
      </c>
      <c r="N47" t="inlineStr"/>
      <c r="O47" t="inlineStr"/>
      <c r="P47" t="inlineStr">
        <is>
          <t>NEUTRAL</t>
        </is>
      </c>
      <c r="Q47" t="inlineStr">
        <is>
          <t>INCLUDED</t>
        </is>
      </c>
      <c r="R47" t="n">
        <v>12.14</v>
      </c>
      <c r="S47" t="inlineStr">
        <is>
          <t>SuperTrend Stop Loss Exit</t>
        </is>
      </c>
      <c r="T47" t="n">
        <v>0.4326</v>
      </c>
      <c r="U47" t="n">
        <v>0.696</v>
      </c>
      <c r="V47" t="inlineStr">
        <is>
          <t>2025-12-10</t>
        </is>
      </c>
      <c r="W47" t="inlineStr">
        <is>
          <t>Between R1 and S1</t>
        </is>
      </c>
      <c r="X47" t="n">
        <v>25785.2</v>
      </c>
      <c r="Y47" t="n">
        <v>25932.87</v>
      </c>
      <c r="Z47" t="n">
        <v>25737.22</v>
      </c>
      <c r="AA47" t="n">
        <v>26026.08</v>
      </c>
      <c r="AB47" t="n">
        <v>25634.78</v>
      </c>
      <c r="AC47" t="n">
        <v>26128.52</v>
      </c>
      <c r="AD47" t="n">
        <v>25541.57</v>
      </c>
    </row>
    <row r="48">
      <c r="A48">
        <f>HYPERLINK("../../data/DEC16_DYNAMIC/DEC10/OTM/NIFTY25D1625800PE_strategy.csv", "NIFTY25D1625800PE")</f>
        <v/>
      </c>
      <c r="B48" t="inlineStr">
        <is>
          <t>PE</t>
        </is>
      </c>
      <c r="C48" t="inlineStr">
        <is>
          <t>12:14:01</t>
        </is>
      </c>
      <c r="D48" t="inlineStr">
        <is>
          <t>12:52:00</t>
        </is>
      </c>
      <c r="E48" t="n">
        <v>102.9</v>
      </c>
      <c r="F48" t="n">
        <v>117.15</v>
      </c>
      <c r="G48" t="n">
        <v>116656.89</v>
      </c>
      <c r="H48" t="n">
        <v>116656.89</v>
      </c>
      <c r="I48" t="n">
        <v>81659.82000000001</v>
      </c>
      <c r="J48" t="inlineStr">
        <is>
          <t>EXECUTED</t>
        </is>
      </c>
      <c r="K48" t="n">
        <v>32.07</v>
      </c>
      <c r="L48" t="n">
        <v>-10.5</v>
      </c>
      <c r="M48">
        <f>HYPERLINK("../../data/DEC16_DYNAMIC/DEC10/OTM/NIFTY25D1625800PE_strategy.html", "View")</f>
        <v/>
      </c>
      <c r="N48" t="inlineStr"/>
      <c r="O48" t="inlineStr"/>
      <c r="P48" t="inlineStr">
        <is>
          <t>NEUTRAL</t>
        </is>
      </c>
      <c r="Q48" t="inlineStr">
        <is>
          <t>INCLUDED</t>
        </is>
      </c>
      <c r="R48" t="n">
        <v>13.85</v>
      </c>
      <c r="S48" t="inlineStr">
        <is>
          <t>SuperTrend Stop Loss Exit</t>
        </is>
      </c>
      <c r="T48" t="n">
        <v>0.5366</v>
      </c>
      <c r="U48" t="n">
        <v>0.7306</v>
      </c>
      <c r="V48" t="inlineStr">
        <is>
          <t>2025-12-10</t>
        </is>
      </c>
      <c r="W48" t="inlineStr">
        <is>
          <t>Between R1 and S1</t>
        </is>
      </c>
      <c r="X48" t="n">
        <v>25830.65</v>
      </c>
      <c r="Y48" t="n">
        <v>25932.87</v>
      </c>
      <c r="Z48" t="n">
        <v>25737.22</v>
      </c>
      <c r="AA48" t="n">
        <v>26026.08</v>
      </c>
      <c r="AB48" t="n">
        <v>25634.78</v>
      </c>
      <c r="AC48" t="n">
        <v>26128.52</v>
      </c>
      <c r="AD48" t="n">
        <v>25541.57</v>
      </c>
    </row>
    <row r="49">
      <c r="A49">
        <f>HYPERLINK("../../data/DEC16_DYNAMIC/DEC10/OTM/NIFTY25D1625850CE_strategy.csv", "NIFTY25D1625850CE")</f>
        <v/>
      </c>
      <c r="B49" t="inlineStr">
        <is>
          <t>CE</t>
        </is>
      </c>
      <c r="C49" t="inlineStr">
        <is>
          <t>12:06:01</t>
        </is>
      </c>
      <c r="D49" t="inlineStr">
        <is>
          <t>12:13:00</t>
        </is>
      </c>
      <c r="E49" t="n">
        <v>139.5</v>
      </c>
      <c r="F49" t="n">
        <v>130.43</v>
      </c>
      <c r="G49" t="n">
        <v>102465.43</v>
      </c>
      <c r="H49" t="n">
        <v>109588.69</v>
      </c>
      <c r="I49" t="n">
        <v>76712.09</v>
      </c>
      <c r="J49" t="inlineStr">
        <is>
          <t>EXECUTED</t>
        </is>
      </c>
      <c r="K49" t="n">
        <v>2.65</v>
      </c>
      <c r="L49" t="n">
        <v>-11.83</v>
      </c>
      <c r="M49">
        <f>HYPERLINK("../../data/DEC16_DYNAMIC/DEC10/OTM/NIFTY25D1625850CE_strategy.html", "View")</f>
        <v/>
      </c>
      <c r="N49" t="inlineStr"/>
      <c r="O49" t="inlineStr"/>
      <c r="P49" t="inlineStr">
        <is>
          <t>BULLISH</t>
        </is>
      </c>
      <c r="Q49" t="inlineStr">
        <is>
          <t>INCLUDED (HYBRID_v5_BULLISH_CE)</t>
        </is>
      </c>
      <c r="R49" t="n">
        <v>-6.5</v>
      </c>
      <c r="S49" t="inlineStr">
        <is>
          <t>Fixed SL Exit</t>
        </is>
      </c>
      <c r="T49" t="n">
        <v>0.5308</v>
      </c>
      <c r="U49" t="inlineStr"/>
      <c r="V49" t="inlineStr">
        <is>
          <t>2025-12-10</t>
        </is>
      </c>
      <c r="W49" t="inlineStr">
        <is>
          <t>Between R1 and S1</t>
        </is>
      </c>
      <c r="X49" t="n">
        <v>25851.9</v>
      </c>
      <c r="Y49" t="n">
        <v>25932.87</v>
      </c>
      <c r="Z49" t="n">
        <v>25737.22</v>
      </c>
      <c r="AA49" t="n">
        <v>26026.08</v>
      </c>
      <c r="AB49" t="n">
        <v>25634.78</v>
      </c>
      <c r="AC49" t="n">
        <v>26128.52</v>
      </c>
      <c r="AD49" t="n">
        <v>25541.57</v>
      </c>
    </row>
    <row r="50">
      <c r="A50">
        <f>HYPERLINK("../../data/DEC16_DYNAMIC/DEC10/OTM/NIFTY25D1625850PE_strategy.csv", "NIFTY25D1625850PE")</f>
        <v/>
      </c>
      <c r="B50" t="inlineStr">
        <is>
          <t>PE</t>
        </is>
      </c>
      <c r="C50" t="inlineStr">
        <is>
          <t>11:21:01</t>
        </is>
      </c>
      <c r="D50" t="inlineStr">
        <is>
          <t>12:03:00</t>
        </is>
      </c>
      <c r="E50" t="n">
        <v>108.45</v>
      </c>
      <c r="F50" t="n">
        <v>128.3</v>
      </c>
      <c r="G50" t="n">
        <v>109588.69</v>
      </c>
      <c r="H50" t="n">
        <v>109588.69</v>
      </c>
      <c r="I50" t="n">
        <v>76712.09</v>
      </c>
      <c r="J50" t="inlineStr">
        <is>
          <t>EXECUTED</t>
        </is>
      </c>
      <c r="K50" t="n">
        <v>22.22</v>
      </c>
      <c r="L50" t="n">
        <v>-6.87</v>
      </c>
      <c r="M50">
        <f>HYPERLINK("../../data/DEC16_DYNAMIC/DEC10/OTM/NIFTY25D1625850PE_strategy.html", "View")</f>
        <v/>
      </c>
      <c r="N50" t="inlineStr"/>
      <c r="O50" t="inlineStr"/>
      <c r="P50" t="inlineStr">
        <is>
          <t>BEARISH</t>
        </is>
      </c>
      <c r="Q50" t="inlineStr">
        <is>
          <t>INCLUDED (HYBRID_v5_BEARISH_PE)</t>
        </is>
      </c>
      <c r="R50" t="n">
        <v>18.3</v>
      </c>
      <c r="S50" t="inlineStr">
        <is>
          <t>Dynamic Trailing MA (Fast/Slow MA)</t>
        </is>
      </c>
      <c r="T50" t="n">
        <v>0.4062</v>
      </c>
      <c r="U50" t="n">
        <v>0.6672</v>
      </c>
      <c r="V50" t="inlineStr">
        <is>
          <t>2025-12-10</t>
        </is>
      </c>
      <c r="W50" t="inlineStr">
        <is>
          <t>Between R1 and S1</t>
        </is>
      </c>
      <c r="X50" t="n">
        <v>25875.1</v>
      </c>
      <c r="Y50" t="n">
        <v>25932.87</v>
      </c>
      <c r="Z50" t="n">
        <v>25737.22</v>
      </c>
      <c r="AA50" t="n">
        <v>26026.08</v>
      </c>
      <c r="AB50" t="n">
        <v>25634.78</v>
      </c>
      <c r="AC50" t="n">
        <v>26128.52</v>
      </c>
      <c r="AD50" t="n">
        <v>25541.57</v>
      </c>
    </row>
    <row r="51">
      <c r="A51">
        <f>HYPERLINK("../../data/DEC16_DYNAMIC/DEC10/OTM/NIFTY25D1625900CE_strategy.csv", "NIFTY25D1625900CE")</f>
        <v/>
      </c>
      <c r="B51" t="inlineStr">
        <is>
          <t>CE</t>
        </is>
      </c>
      <c r="C51" t="inlineStr">
        <is>
          <t>11:11:01</t>
        </is>
      </c>
      <c r="D51" t="inlineStr">
        <is>
          <t>11:30:00</t>
        </is>
      </c>
      <c r="E51" t="n">
        <v>123.3</v>
      </c>
      <c r="F51" t="n">
        <v>115.29</v>
      </c>
      <c r="G51" t="n">
        <v>92636.25999999999</v>
      </c>
      <c r="H51" t="n">
        <v>100000</v>
      </c>
      <c r="I51" t="n">
        <v>70000</v>
      </c>
      <c r="J51" t="inlineStr">
        <is>
          <t>EXECUTED</t>
        </is>
      </c>
      <c r="K51" t="n">
        <v>4.18</v>
      </c>
      <c r="L51" t="n">
        <v>-4.83</v>
      </c>
      <c r="M51">
        <f>HYPERLINK("../../data/DEC16_DYNAMIC/DEC10/OTM/NIFTY25D1625900CE_strategy.html", "View")</f>
        <v/>
      </c>
      <c r="N51" t="inlineStr"/>
      <c r="O51" t="inlineStr"/>
      <c r="P51" t="inlineStr">
        <is>
          <t>NEUTRAL</t>
        </is>
      </c>
      <c r="Q51" t="inlineStr">
        <is>
          <t>INCLUDED</t>
        </is>
      </c>
      <c r="R51" t="n">
        <v>-6.5</v>
      </c>
      <c r="S51" t="inlineStr">
        <is>
          <t>Fixed SL Exit</t>
        </is>
      </c>
      <c r="T51" t="n">
        <v>0.4164</v>
      </c>
      <c r="U51" t="inlineStr"/>
      <c r="V51" t="inlineStr">
        <is>
          <t>2025-12-10</t>
        </is>
      </c>
      <c r="W51" t="inlineStr">
        <is>
          <t>Between R1 and S1</t>
        </is>
      </c>
      <c r="X51" t="n">
        <v>25866.05</v>
      </c>
      <c r="Y51" t="n">
        <v>25932.87</v>
      </c>
      <c r="Z51" t="n">
        <v>25737.22</v>
      </c>
      <c r="AA51" t="n">
        <v>26026.08</v>
      </c>
      <c r="AB51" t="n">
        <v>25634.78</v>
      </c>
      <c r="AC51" t="n">
        <v>26128.52</v>
      </c>
      <c r="AD51" t="n">
        <v>25541.57</v>
      </c>
    </row>
    <row r="52">
      <c r="A52">
        <f>HYPERLINK("../../data/DEC16_DYNAMIC/DEC10/OTM/NIFTY25D1625950CE_strategy.csv", "NIFTY25D1625950CE")</f>
        <v/>
      </c>
      <c r="B52" t="inlineStr">
        <is>
          <t>CE</t>
        </is>
      </c>
      <c r="C52" t="inlineStr">
        <is>
          <t>10:45:01</t>
        </is>
      </c>
      <c r="D52" t="inlineStr">
        <is>
          <t>10:46:00</t>
        </is>
      </c>
      <c r="E52" t="n">
        <v>126.25</v>
      </c>
      <c r="F52" t="n">
        <v>118.04</v>
      </c>
      <c r="G52" t="n">
        <v>72807.33</v>
      </c>
      <c r="H52" t="n">
        <v>100000</v>
      </c>
      <c r="I52" t="n">
        <v>70000</v>
      </c>
      <c r="J52" t="inlineStr">
        <is>
          <t>EXECUTED</t>
        </is>
      </c>
      <c r="K52" t="n">
        <v>0</v>
      </c>
      <c r="L52" t="n">
        <v>-5.23</v>
      </c>
      <c r="M52">
        <f>HYPERLINK("../../data/DEC16_DYNAMIC/DEC10/OTM/NIFTY25D1625950CE_strategy.html", "View")</f>
        <v/>
      </c>
      <c r="N52" t="inlineStr"/>
      <c r="O52" t="inlineStr"/>
      <c r="P52" t="inlineStr">
        <is>
          <t>NEUTRAL</t>
        </is>
      </c>
      <c r="Q52" t="inlineStr">
        <is>
          <t>INCLUDED</t>
        </is>
      </c>
      <c r="R52" t="n">
        <v>-6.5</v>
      </c>
      <c r="S52" t="inlineStr">
        <is>
          <t>Fixed Stop Loss</t>
        </is>
      </c>
      <c r="T52" t="n">
        <v>0.2806</v>
      </c>
      <c r="U52" t="inlineStr"/>
      <c r="V52" t="inlineStr">
        <is>
          <t>2025-12-10</t>
        </is>
      </c>
      <c r="W52" t="inlineStr">
        <is>
          <t>Between R1 and S1</t>
        </is>
      </c>
      <c r="X52" t="n">
        <v>25917.25</v>
      </c>
      <c r="Y52" t="n">
        <v>25932.87</v>
      </c>
      <c r="Z52" t="n">
        <v>25737.22</v>
      </c>
      <c r="AA52" t="n">
        <v>26026.08</v>
      </c>
      <c r="AB52" t="n">
        <v>25634.78</v>
      </c>
      <c r="AC52" t="n">
        <v>26128.52</v>
      </c>
      <c r="AD52" t="n">
        <v>25541.57</v>
      </c>
    </row>
    <row r="53">
      <c r="A53">
        <f>HYPERLINK("../../data/DEC16_DYNAMIC/DEC10/OTM/NIFTY25D1625900PE_strategy.csv", "NIFTY25D1625900PE")</f>
        <v/>
      </c>
      <c r="B53" t="inlineStr">
        <is>
          <t>PE</t>
        </is>
      </c>
      <c r="C53" t="inlineStr">
        <is>
          <t>10:30:01</t>
        </is>
      </c>
      <c r="D53" t="inlineStr">
        <is>
          <t>11:05:00</t>
        </is>
      </c>
      <c r="E53" t="n">
        <v>98.65000000000001</v>
      </c>
      <c r="F53" t="n">
        <v>134.24</v>
      </c>
      <c r="G53" t="n">
        <v>99076.21000000001</v>
      </c>
      <c r="H53" t="n">
        <v>100000</v>
      </c>
      <c r="I53" t="n">
        <v>70000</v>
      </c>
      <c r="J53" t="inlineStr">
        <is>
          <t>EXECUTED</t>
        </is>
      </c>
      <c r="K53" t="n">
        <v>60.36</v>
      </c>
      <c r="L53" t="n">
        <v>-11.71</v>
      </c>
      <c r="M53">
        <f>HYPERLINK("../../data/DEC16_DYNAMIC/DEC10/OTM/NIFTY25D1625900PE_strategy.html", "View")</f>
        <v/>
      </c>
      <c r="N53" t="inlineStr"/>
      <c r="O53" t="inlineStr"/>
      <c r="P53" t="inlineStr">
        <is>
          <t>BEARISH</t>
        </is>
      </c>
      <c r="Q53" t="inlineStr">
        <is>
          <t>INCLUDED (HYBRID_v5_BEARISH_PE)</t>
        </is>
      </c>
      <c r="R53" t="n">
        <v>36.08</v>
      </c>
      <c r="S53" t="inlineStr">
        <is>
          <t>SuperTrend Stop Loss Exit</t>
        </is>
      </c>
      <c r="T53" t="n">
        <v>0.5286</v>
      </c>
      <c r="U53" t="n">
        <v>0.8078</v>
      </c>
      <c r="V53" t="inlineStr">
        <is>
          <t>2025-12-10</t>
        </is>
      </c>
      <c r="W53" t="inlineStr">
        <is>
          <t>Between R1 and S1</t>
        </is>
      </c>
      <c r="X53" t="n">
        <v>25930.25</v>
      </c>
      <c r="Y53" t="n">
        <v>25932.87</v>
      </c>
      <c r="Z53" t="n">
        <v>25737.22</v>
      </c>
      <c r="AA53" t="n">
        <v>26026.08</v>
      </c>
      <c r="AB53" t="n">
        <v>25634.78</v>
      </c>
      <c r="AC53" t="n">
        <v>26128.52</v>
      </c>
      <c r="AD53" t="n">
        <v>25541.57</v>
      </c>
    </row>
    <row r="54">
      <c r="A54">
        <f>HYPERLINK("../../data/DEC16_DYNAMIC/DEC10/OTM/NIFTY25D1625850PE_strategy.csv", "NIFTY25D1625850PE")</f>
        <v/>
      </c>
      <c r="B54" t="inlineStr">
        <is>
          <t>PE</t>
        </is>
      </c>
      <c r="C54" t="inlineStr">
        <is>
          <t>09:51:01</t>
        </is>
      </c>
      <c r="D54" t="inlineStr">
        <is>
          <t>10:03:00</t>
        </is>
      </c>
      <c r="E54" t="n">
        <v>93.5</v>
      </c>
      <c r="F54" t="n">
        <v>86.02</v>
      </c>
      <c r="G54" t="n">
        <v>77868.8</v>
      </c>
      <c r="H54" t="n">
        <v>100000</v>
      </c>
      <c r="I54" t="n">
        <v>70000</v>
      </c>
      <c r="J54" t="inlineStr">
        <is>
          <t>EXECUTED</t>
        </is>
      </c>
      <c r="K54" t="n">
        <v>5.13</v>
      </c>
      <c r="L54" t="n">
        <v>-14.12</v>
      </c>
      <c r="M54">
        <f>HYPERLINK("../../data/DEC16_DYNAMIC/DEC10/OTM/NIFTY25D1625850PE_strategy.html", "View")</f>
        <v/>
      </c>
      <c r="N54" t="inlineStr"/>
      <c r="O54" t="inlineStr"/>
      <c r="P54" t="inlineStr">
        <is>
          <t>NEUTRAL</t>
        </is>
      </c>
      <c r="Q54" t="inlineStr">
        <is>
          <t>INCLUDED</t>
        </is>
      </c>
      <c r="R54" t="n">
        <v>-8</v>
      </c>
      <c r="S54" t="inlineStr">
        <is>
          <t>Fixed Stop Loss</t>
        </is>
      </c>
      <c r="T54" t="n">
        <v>0.5545</v>
      </c>
      <c r="U54" t="inlineStr"/>
      <c r="V54" t="inlineStr">
        <is>
          <t>2025-12-10</t>
        </is>
      </c>
      <c r="W54" t="inlineStr">
        <is>
          <t>Between R1 and S1</t>
        </is>
      </c>
      <c r="X54" t="n">
        <v>25898.25</v>
      </c>
      <c r="Y54" t="n">
        <v>25932.87</v>
      </c>
      <c r="Z54" t="n">
        <v>25737.22</v>
      </c>
      <c r="AA54" t="n">
        <v>26026.08</v>
      </c>
      <c r="AB54" t="n">
        <v>25634.78</v>
      </c>
      <c r="AC54" t="n">
        <v>26128.52</v>
      </c>
      <c r="AD54" t="n">
        <v>25541.57</v>
      </c>
    </row>
    <row r="55">
      <c r="A55">
        <f>HYPERLINK("../../data/DEC16_DYNAMIC/DEC10/OTM/NIFTY25D1625850PE_strategy.csv", "NIFTY25D1625850PE")</f>
        <v/>
      </c>
      <c r="B55" t="inlineStr">
        <is>
          <t>PE</t>
        </is>
      </c>
      <c r="C55" t="inlineStr">
        <is>
          <t>09:25:01</t>
        </is>
      </c>
      <c r="D55" t="inlineStr">
        <is>
          <t>09:26:00</t>
        </is>
      </c>
      <c r="E55" t="n">
        <v>118.15</v>
      </c>
      <c r="F55" t="n">
        <v>108.7</v>
      </c>
      <c r="G55" t="n">
        <v>84640</v>
      </c>
      <c r="H55" t="n">
        <v>100000</v>
      </c>
      <c r="I55" t="n">
        <v>70000</v>
      </c>
      <c r="J55" t="inlineStr">
        <is>
          <t>EXECUTED</t>
        </is>
      </c>
      <c r="K55" t="n">
        <v>1.44</v>
      </c>
      <c r="L55" t="n">
        <v>-12.44</v>
      </c>
      <c r="M55">
        <f>HYPERLINK("../../data/DEC16_DYNAMIC/DEC10/OTM/NIFTY25D1625850PE_strategy.html", "View")</f>
        <v/>
      </c>
      <c r="N55" t="inlineStr"/>
      <c r="O55" t="inlineStr"/>
      <c r="P55" t="inlineStr">
        <is>
          <t>BEARISH</t>
        </is>
      </c>
      <c r="Q55" t="inlineStr">
        <is>
          <t>INCLUDED (HYBRID_v5_BEARISH_PE)</t>
        </is>
      </c>
      <c r="R55" t="n">
        <v>-8</v>
      </c>
      <c r="S55" t="inlineStr">
        <is>
          <t>Fixed Stop Loss</t>
        </is>
      </c>
      <c r="T55" t="n">
        <v>0.701</v>
      </c>
      <c r="U55" t="inlineStr"/>
      <c r="V55" t="inlineStr">
        <is>
          <t>2025-12-10</t>
        </is>
      </c>
      <c r="W55" t="inlineStr">
        <is>
          <t>Between R1 and S1</t>
        </is>
      </c>
      <c r="X55" t="n">
        <v>25854.2</v>
      </c>
      <c r="Y55" t="n">
        <v>25932.87</v>
      </c>
      <c r="Z55" t="n">
        <v>25737.22</v>
      </c>
      <c r="AA55" t="n">
        <v>26026.08</v>
      </c>
      <c r="AB55" t="n">
        <v>25634.78</v>
      </c>
      <c r="AC55" t="n">
        <v>26128.52</v>
      </c>
      <c r="AD55" t="n">
        <v>25541.57</v>
      </c>
    </row>
    <row r="56">
      <c r="A56">
        <f>HYPERLINK("../../data/DEC16_DYNAMIC/DEC10/OTM/NIFTY25D1625850PE_strategy.csv", "NIFTY25D1625850PE")</f>
        <v/>
      </c>
      <c r="B56" t="inlineStr">
        <is>
          <t>PE</t>
        </is>
      </c>
      <c r="C56" t="inlineStr">
        <is>
          <t>09:21:01</t>
        </is>
      </c>
      <c r="D56" t="inlineStr">
        <is>
          <t>09:23:00</t>
        </is>
      </c>
      <c r="E56" t="n">
        <v>117.7</v>
      </c>
      <c r="F56" t="n">
        <v>108.28</v>
      </c>
      <c r="G56" t="n">
        <v>92000</v>
      </c>
      <c r="H56" t="n">
        <v>100000</v>
      </c>
      <c r="I56" t="n">
        <v>70000</v>
      </c>
      <c r="J56" t="inlineStr">
        <is>
          <t>EXECUTED</t>
        </is>
      </c>
      <c r="K56" t="n">
        <v>0</v>
      </c>
      <c r="L56" t="n">
        <v>-15.68</v>
      </c>
      <c r="M56">
        <f>HYPERLINK("../../data/DEC16_DYNAMIC/DEC10/OTM/NIFTY25D1625850PE_strategy.html", "View")</f>
        <v/>
      </c>
      <c r="N56" t="inlineStr"/>
      <c r="O56" t="inlineStr"/>
      <c r="P56" t="inlineStr">
        <is>
          <t>BEARISH</t>
        </is>
      </c>
      <c r="Q56" t="inlineStr">
        <is>
          <t>INCLUDED (HYBRID_v5_BEARISH_PE)</t>
        </is>
      </c>
      <c r="R56" t="n">
        <v>-8</v>
      </c>
      <c r="S56" t="inlineStr">
        <is>
          <t>Fixed Stop Loss</t>
        </is>
      </c>
      <c r="T56" t="n">
        <v>0.6463</v>
      </c>
      <c r="U56" t="inlineStr"/>
      <c r="V56" t="inlineStr">
        <is>
          <t>2025-12-10</t>
        </is>
      </c>
      <c r="W56" t="inlineStr">
        <is>
          <t>Between R1 and S1</t>
        </is>
      </c>
      <c r="X56" t="n">
        <v>25865.1</v>
      </c>
      <c r="Y56" t="n">
        <v>25932.87</v>
      </c>
      <c r="Z56" t="n">
        <v>25737.22</v>
      </c>
      <c r="AA56" t="n">
        <v>26026.08</v>
      </c>
      <c r="AB56" t="n">
        <v>25634.78</v>
      </c>
      <c r="AC56" t="n">
        <v>26128.52</v>
      </c>
      <c r="AD56" t="n">
        <v>25541.57</v>
      </c>
    </row>
    <row r="57">
      <c r="A57">
        <f>HYPERLINK("../../data/DEC16_DYNAMIC/DEC11/OTM/NIFTY25D1625900CE_strategy.csv", "NIFTY25D1625900CE")</f>
        <v/>
      </c>
      <c r="B57" t="inlineStr">
        <is>
          <t>CE</t>
        </is>
      </c>
      <c r="C57" t="inlineStr">
        <is>
          <t>14:53:01</t>
        </is>
      </c>
      <c r="D57" t="inlineStr">
        <is>
          <t>14:54:00</t>
        </is>
      </c>
      <c r="E57" t="n">
        <v>110.45</v>
      </c>
      <c r="F57" t="n">
        <v>101.61</v>
      </c>
      <c r="G57" t="n">
        <v>130173.14</v>
      </c>
      <c r="H57" t="n">
        <v>154219.78</v>
      </c>
      <c r="I57" t="n">
        <v>107953.85</v>
      </c>
      <c r="J57" t="inlineStr">
        <is>
          <t>EXECUTED</t>
        </is>
      </c>
      <c r="K57" t="n">
        <v>0</v>
      </c>
      <c r="L57" t="n">
        <v>-11.45</v>
      </c>
      <c r="M57">
        <f>HYPERLINK("../../data/DEC16_DYNAMIC/DEC11/OTM/NIFTY25D1625900CE_strategy.html", "View")</f>
        <v/>
      </c>
      <c r="N57" t="inlineStr"/>
      <c r="O57" t="inlineStr"/>
      <c r="P57" t="inlineStr">
        <is>
          <t>BULLISH</t>
        </is>
      </c>
      <c r="Q57" t="inlineStr">
        <is>
          <t>INCLUDED (HYBRID_v5_BULLISH_CE)</t>
        </is>
      </c>
      <c r="R57" t="n">
        <v>-8</v>
      </c>
      <c r="S57" t="inlineStr">
        <is>
          <t>Fixed Stop Loss</t>
        </is>
      </c>
      <c r="T57" t="n">
        <v>0.3041</v>
      </c>
      <c r="U57" t="inlineStr"/>
      <c r="V57" t="inlineStr">
        <is>
          <t>2025-12-11</t>
        </is>
      </c>
      <c r="W57" t="inlineStr">
        <is>
          <t>Between R1 and S1</t>
        </is>
      </c>
      <c r="X57" t="n">
        <v>25867.8</v>
      </c>
      <c r="Y57" t="n">
        <v>25892.25</v>
      </c>
      <c r="Z57" t="n">
        <v>25679.15</v>
      </c>
      <c r="AA57" t="n">
        <v>26026.5</v>
      </c>
      <c r="AB57" t="n">
        <v>25600.3</v>
      </c>
      <c r="AC57" t="n">
        <v>26105.35</v>
      </c>
      <c r="AD57" t="n">
        <v>25466.05</v>
      </c>
    </row>
    <row r="58">
      <c r="A58">
        <f>HYPERLINK("../../data/DEC16_DYNAMIC/DEC11/OTM/NIFTY25D1625850PE_strategy.csv", "NIFTY25D1625850PE")</f>
        <v/>
      </c>
      <c r="B58" t="inlineStr">
        <is>
          <t>PE</t>
        </is>
      </c>
      <c r="C58" t="inlineStr">
        <is>
          <t>14:02:01</t>
        </is>
      </c>
      <c r="D58" t="inlineStr">
        <is>
          <t>14:20:00</t>
        </is>
      </c>
      <c r="E58" t="n">
        <v>76</v>
      </c>
      <c r="F58" t="n">
        <v>74.14</v>
      </c>
      <c r="G58" t="n">
        <v>138406.08</v>
      </c>
      <c r="H58" t="n">
        <v>154219.78</v>
      </c>
      <c r="I58" t="n">
        <v>107953.85</v>
      </c>
      <c r="J58" t="inlineStr">
        <is>
          <t>EXECUTED</t>
        </is>
      </c>
      <c r="K58" t="n">
        <v>16.05</v>
      </c>
      <c r="L58" t="n">
        <v>-7.57</v>
      </c>
      <c r="M58">
        <f>HYPERLINK("../../data/DEC16_DYNAMIC/DEC11/OTM/NIFTY25D1625850PE_strategy.html", "View")</f>
        <v/>
      </c>
      <c r="N58" t="inlineStr"/>
      <c r="O58" t="inlineStr"/>
      <c r="P58" t="inlineStr">
        <is>
          <t>BEARISH</t>
        </is>
      </c>
      <c r="Q58" t="inlineStr">
        <is>
          <t>INCLUDED (HYBRID_v5_BEARISH_PE)</t>
        </is>
      </c>
      <c r="R58" t="n">
        <v>-2.45</v>
      </c>
      <c r="S58" t="inlineStr">
        <is>
          <t>SuperTrend Stop Loss Exit</t>
        </is>
      </c>
      <c r="T58" t="n">
        <v>0.6594</v>
      </c>
      <c r="U58" t="n">
        <v>0.7275</v>
      </c>
      <c r="V58" t="inlineStr">
        <is>
          <t>2025-12-11</t>
        </is>
      </c>
      <c r="W58" t="inlineStr">
        <is>
          <t>Between R1 and S1</t>
        </is>
      </c>
      <c r="X58" t="n">
        <v>25882.1</v>
      </c>
      <c r="Y58" t="n">
        <v>25892.25</v>
      </c>
      <c r="Z58" t="n">
        <v>25679.15</v>
      </c>
      <c r="AA58" t="n">
        <v>26026.5</v>
      </c>
      <c r="AB58" t="n">
        <v>25600.3</v>
      </c>
      <c r="AC58" t="n">
        <v>26105.35</v>
      </c>
      <c r="AD58" t="n">
        <v>25466.05</v>
      </c>
    </row>
    <row r="59">
      <c r="A59">
        <f>HYPERLINK("../../data/DEC16_DYNAMIC/DEC11/OTM/NIFTY25D1625900CE_strategy.csv", "NIFTY25D1625900CE")</f>
        <v/>
      </c>
      <c r="B59" t="inlineStr">
        <is>
          <t>CE</t>
        </is>
      </c>
      <c r="C59" t="inlineStr">
        <is>
          <t>13:19:01</t>
        </is>
      </c>
      <c r="D59" t="inlineStr">
        <is>
          <t>13:26:00</t>
        </is>
      </c>
      <c r="E59" t="n">
        <v>109.95</v>
      </c>
      <c r="F59" t="n">
        <v>101.15</v>
      </c>
      <c r="G59" t="n">
        <v>141882.2</v>
      </c>
      <c r="H59" t="n">
        <v>154219.78</v>
      </c>
      <c r="I59" t="n">
        <v>107953.85</v>
      </c>
      <c r="J59" t="inlineStr">
        <is>
          <t>EXECUTED</t>
        </is>
      </c>
      <c r="K59" t="n">
        <v>1.23</v>
      </c>
      <c r="L59" t="n">
        <v>-11.14</v>
      </c>
      <c r="M59">
        <f>HYPERLINK("../../data/DEC16_DYNAMIC/DEC11/OTM/NIFTY25D1625900CE_strategy.html", "View")</f>
        <v/>
      </c>
      <c r="N59" t="inlineStr"/>
      <c r="O59" t="inlineStr"/>
      <c r="P59" t="inlineStr">
        <is>
          <t>BULLISH</t>
        </is>
      </c>
      <c r="Q59" t="inlineStr">
        <is>
          <t>INCLUDED (HYBRID_v5_BULLISH_CE)</t>
        </is>
      </c>
      <c r="R59" t="n">
        <v>-8</v>
      </c>
      <c r="S59" t="inlineStr">
        <is>
          <t>Fixed Stop Loss</t>
        </is>
      </c>
      <c r="T59" t="n">
        <v>0.4483</v>
      </c>
      <c r="U59" t="inlineStr"/>
      <c r="V59" t="inlineStr">
        <is>
          <t>2025-12-11</t>
        </is>
      </c>
      <c r="W59" t="inlineStr">
        <is>
          <t>Between R1 and S1</t>
        </is>
      </c>
      <c r="X59" t="n">
        <v>25864.05</v>
      </c>
      <c r="Y59" t="n">
        <v>25892.25</v>
      </c>
      <c r="Z59" t="n">
        <v>25679.15</v>
      </c>
      <c r="AA59" t="n">
        <v>26026.5</v>
      </c>
      <c r="AB59" t="n">
        <v>25600.3</v>
      </c>
      <c r="AC59" t="n">
        <v>26105.35</v>
      </c>
      <c r="AD59" t="n">
        <v>25466.05</v>
      </c>
    </row>
    <row r="60">
      <c r="A60">
        <f>HYPERLINK("../../data/DEC16_DYNAMIC/DEC11/OTM/NIFTY25D1625800CE_strategy.csv", "NIFTY25D1625800CE")</f>
        <v/>
      </c>
      <c r="B60" t="inlineStr">
        <is>
          <t>CE</t>
        </is>
      </c>
      <c r="C60" t="inlineStr">
        <is>
          <t>11:12:01</t>
        </is>
      </c>
      <c r="D60" t="inlineStr">
        <is>
          <t>11:13:00</t>
        </is>
      </c>
      <c r="E60" t="n">
        <v>134.9</v>
      </c>
      <c r="F60" t="n">
        <v>126.13</v>
      </c>
      <c r="G60" t="n">
        <v>143007.96</v>
      </c>
      <c r="H60" t="n">
        <v>152949.69</v>
      </c>
      <c r="I60" t="n">
        <v>107064.78</v>
      </c>
      <c r="J60" t="inlineStr">
        <is>
          <t>EXECUTED</t>
        </is>
      </c>
      <c r="K60" t="n">
        <v>0.74</v>
      </c>
      <c r="L60" t="n">
        <v>-12.75</v>
      </c>
      <c r="M60">
        <f>HYPERLINK("../../data/DEC16_DYNAMIC/DEC11/OTM/NIFTY25D1625800CE_strategy.html", "View")</f>
        <v/>
      </c>
      <c r="N60" t="inlineStr"/>
      <c r="O60" t="inlineStr"/>
      <c r="P60" t="inlineStr">
        <is>
          <t>NEUTRAL</t>
        </is>
      </c>
      <c r="Q60" t="inlineStr">
        <is>
          <t>INCLUDED</t>
        </is>
      </c>
      <c r="R60" t="n">
        <v>-6.5</v>
      </c>
      <c r="S60" t="inlineStr">
        <is>
          <t>Fixed Stop Loss</t>
        </is>
      </c>
      <c r="T60" t="n">
        <v>0.3906</v>
      </c>
      <c r="U60" t="inlineStr"/>
      <c r="V60" t="inlineStr">
        <is>
          <t>2025-12-11</t>
        </is>
      </c>
      <c r="W60" t="inlineStr">
        <is>
          <t>Between R1 and S1</t>
        </is>
      </c>
      <c r="X60" t="n">
        <v>25789.1</v>
      </c>
      <c r="Y60" t="n">
        <v>25892.25</v>
      </c>
      <c r="Z60" t="n">
        <v>25679.15</v>
      </c>
      <c r="AA60" t="n">
        <v>26026.5</v>
      </c>
      <c r="AB60" t="n">
        <v>25600.3</v>
      </c>
      <c r="AC60" t="n">
        <v>26105.35</v>
      </c>
      <c r="AD60" t="n">
        <v>25466.05</v>
      </c>
    </row>
    <row r="61">
      <c r="A61">
        <f>HYPERLINK("../../data/DEC16_DYNAMIC/DEC11/OTM/NIFTY25D1625750CE_strategy.csv", "NIFTY25D1625750CE")</f>
        <v/>
      </c>
      <c r="B61" t="inlineStr">
        <is>
          <t>CE</t>
        </is>
      </c>
      <c r="C61" t="inlineStr">
        <is>
          <t>10:05:01</t>
        </is>
      </c>
      <c r="D61" t="inlineStr">
        <is>
          <t>10:55:00</t>
        </is>
      </c>
      <c r="E61" t="n">
        <v>137.3</v>
      </c>
      <c r="F61" t="n">
        <v>178.93</v>
      </c>
      <c r="G61" t="n">
        <v>152949.69</v>
      </c>
      <c r="H61" t="n">
        <v>152949.69</v>
      </c>
      <c r="I61" t="n">
        <v>107064.78</v>
      </c>
      <c r="J61" t="inlineStr">
        <is>
          <t>EXECUTED</t>
        </is>
      </c>
      <c r="K61" t="n">
        <v>48.11</v>
      </c>
      <c r="L61" t="n">
        <v>-10.82</v>
      </c>
      <c r="M61">
        <f>HYPERLINK("../../data/DEC16_DYNAMIC/DEC11/OTM/NIFTY25D1625750CE_strategy.html", "View")</f>
        <v/>
      </c>
      <c r="N61" t="inlineStr"/>
      <c r="O61" t="inlineStr"/>
      <c r="P61" t="inlineStr">
        <is>
          <t>NEUTRAL</t>
        </is>
      </c>
      <c r="Q61" t="inlineStr">
        <is>
          <t>INCLUDED</t>
        </is>
      </c>
      <c r="R61" t="n">
        <v>30.32</v>
      </c>
      <c r="S61" t="inlineStr">
        <is>
          <t>SuperTrend Stop Loss Exit</t>
        </is>
      </c>
      <c r="T61" t="n">
        <v>0.6156</v>
      </c>
      <c r="U61" t="n">
        <v>0.7396</v>
      </c>
      <c r="V61" t="inlineStr">
        <is>
          <t>2025-12-11</t>
        </is>
      </c>
      <c r="W61" t="inlineStr">
        <is>
          <t>Between R1 and S1</t>
        </is>
      </c>
      <c r="X61" t="n">
        <v>25751.4</v>
      </c>
      <c r="Y61" t="n">
        <v>25892.25</v>
      </c>
      <c r="Z61" t="n">
        <v>25679.15</v>
      </c>
      <c r="AA61" t="n">
        <v>26026.5</v>
      </c>
      <c r="AB61" t="n">
        <v>25600.3</v>
      </c>
      <c r="AC61" t="n">
        <v>26105.35</v>
      </c>
      <c r="AD61" t="n">
        <v>25466.05</v>
      </c>
    </row>
    <row r="62">
      <c r="A62">
        <f>HYPERLINK("../../data/DEC16_DYNAMIC/DEC11/OTM/NIFTY25D1625750CE_strategy.csv", "NIFTY25D1625750CE")</f>
        <v/>
      </c>
      <c r="B62" t="inlineStr">
        <is>
          <t>CE</t>
        </is>
      </c>
      <c r="C62" t="inlineStr">
        <is>
          <t>09:50:01</t>
        </is>
      </c>
      <c r="D62" t="inlineStr">
        <is>
          <t>09:52:00</t>
        </is>
      </c>
      <c r="E62" t="n">
        <v>132.85</v>
      </c>
      <c r="F62" t="n">
        <v>124.21</v>
      </c>
      <c r="G62" t="n">
        <v>87422.5</v>
      </c>
      <c r="H62" t="n">
        <v>100000</v>
      </c>
      <c r="I62" t="n">
        <v>70000</v>
      </c>
      <c r="J62" t="inlineStr">
        <is>
          <t>EXECUTED</t>
        </is>
      </c>
      <c r="K62" t="n">
        <v>0</v>
      </c>
      <c r="L62" t="n">
        <v>-15.28</v>
      </c>
      <c r="M62">
        <f>HYPERLINK("../../data/DEC16_DYNAMIC/DEC11/OTM/NIFTY25D1625750CE_strategy.html", "View")</f>
        <v/>
      </c>
      <c r="N62" t="inlineStr"/>
      <c r="O62" t="inlineStr"/>
      <c r="P62" t="inlineStr">
        <is>
          <t>NEUTRAL</t>
        </is>
      </c>
      <c r="Q62" t="inlineStr">
        <is>
          <t>INCLUDED</t>
        </is>
      </c>
      <c r="R62" t="n">
        <v>-6.5</v>
      </c>
      <c r="S62" t="inlineStr">
        <is>
          <t>Fixed Stop Loss</t>
        </is>
      </c>
      <c r="T62" t="n">
        <v>0.3645</v>
      </c>
      <c r="U62" t="inlineStr"/>
      <c r="V62" t="inlineStr">
        <is>
          <t>2025-12-11</t>
        </is>
      </c>
      <c r="W62" t="inlineStr">
        <is>
          <t>Between R1 and S1</t>
        </is>
      </c>
      <c r="X62" t="n">
        <v>25729.15</v>
      </c>
      <c r="Y62" t="n">
        <v>25892.25</v>
      </c>
      <c r="Z62" t="n">
        <v>25679.15</v>
      </c>
      <c r="AA62" t="n">
        <v>26026.5</v>
      </c>
      <c r="AB62" t="n">
        <v>25600.3</v>
      </c>
      <c r="AC62" t="n">
        <v>26105.35</v>
      </c>
      <c r="AD62" t="n">
        <v>25466.05</v>
      </c>
    </row>
    <row r="63">
      <c r="A63">
        <f>HYPERLINK("../../data/DEC16_DYNAMIC/DEC11/OTM/NIFTY25D1625750PE_strategy.csv", "NIFTY25D1625750PE")</f>
        <v/>
      </c>
      <c r="B63" t="inlineStr">
        <is>
          <t>PE</t>
        </is>
      </c>
      <c r="C63" t="inlineStr">
        <is>
          <t>09:34:01</t>
        </is>
      </c>
      <c r="D63" t="inlineStr">
        <is>
          <t>09:57:00</t>
        </is>
      </c>
      <c r="E63" t="n">
        <v>89.5</v>
      </c>
      <c r="F63" t="n">
        <v>120.15</v>
      </c>
      <c r="G63" t="n">
        <v>117364.71</v>
      </c>
      <c r="H63" t="n">
        <v>117364.71</v>
      </c>
      <c r="I63" t="n">
        <v>82155.28999999999</v>
      </c>
      <c r="J63" t="inlineStr">
        <is>
          <t>EXECUTED</t>
        </is>
      </c>
      <c r="K63" t="n">
        <v>52.74</v>
      </c>
      <c r="L63" t="n">
        <v>-12.96</v>
      </c>
      <c r="M63">
        <f>HYPERLINK("../../data/DEC16_DYNAMIC/DEC11/OTM/NIFTY25D1625750PE_strategy.html", "View")</f>
        <v/>
      </c>
      <c r="N63" t="inlineStr"/>
      <c r="O63" t="inlineStr"/>
      <c r="P63" t="inlineStr">
        <is>
          <t>BEARISH</t>
        </is>
      </c>
      <c r="Q63" t="inlineStr">
        <is>
          <t>INCLUDED (HYBRID_v5_BEARISH_PE)</t>
        </is>
      </c>
      <c r="R63" t="n">
        <v>34.25</v>
      </c>
      <c r="S63" t="inlineStr">
        <is>
          <t>Dynamic Trailing MA (Fast/Slow MA)</t>
        </is>
      </c>
      <c r="T63" t="n">
        <v>0.5566</v>
      </c>
      <c r="U63" t="n">
        <v>0.712</v>
      </c>
      <c r="V63" t="inlineStr">
        <is>
          <t>2025-12-11</t>
        </is>
      </c>
      <c r="W63" t="inlineStr">
        <is>
          <t>Between R1 and S1</t>
        </is>
      </c>
      <c r="X63" t="n">
        <v>25788.5</v>
      </c>
      <c r="Y63" t="n">
        <v>25892.25</v>
      </c>
      <c r="Z63" t="n">
        <v>25679.15</v>
      </c>
      <c r="AA63" t="n">
        <v>26026.5</v>
      </c>
      <c r="AB63" t="n">
        <v>25600.3</v>
      </c>
      <c r="AC63" t="n">
        <v>26105.35</v>
      </c>
      <c r="AD63" t="n">
        <v>25466.05</v>
      </c>
    </row>
    <row r="64">
      <c r="A64">
        <f>HYPERLINK("../../data/DEC16_DYNAMIC/DEC11/OTM/NIFTY25D1625800CE_strategy.csv", "NIFTY25D1625800CE")</f>
        <v/>
      </c>
      <c r="B64" t="inlineStr">
        <is>
          <t>CE</t>
        </is>
      </c>
      <c r="C64" t="inlineStr">
        <is>
          <t>09:21:01</t>
        </is>
      </c>
      <c r="D64" t="inlineStr">
        <is>
          <t>09:26:00</t>
        </is>
      </c>
      <c r="E64" t="n">
        <v>131.3</v>
      </c>
      <c r="F64" t="n">
        <v>122.77</v>
      </c>
      <c r="G64" t="n">
        <v>93500</v>
      </c>
      <c r="H64" t="n">
        <v>100000</v>
      </c>
      <c r="I64" t="n">
        <v>70000</v>
      </c>
      <c r="J64" t="inlineStr">
        <is>
          <t>EXECUTED</t>
        </is>
      </c>
      <c r="K64" t="n">
        <v>6.78</v>
      </c>
      <c r="L64" t="n">
        <v>-14.7</v>
      </c>
      <c r="M64">
        <f>HYPERLINK("../../data/DEC16_DYNAMIC/DEC11/OTM/NIFTY25D1625800CE_strategy.html", "View")</f>
        <v/>
      </c>
      <c r="N64" t="inlineStr"/>
      <c r="O64" t="inlineStr"/>
      <c r="P64" t="inlineStr">
        <is>
          <t>BULLISH</t>
        </is>
      </c>
      <c r="Q64" t="inlineStr">
        <is>
          <t>INCLUDED (HYBRID_v5_BULLISH_CE)</t>
        </is>
      </c>
      <c r="R64" t="n">
        <v>-6.5</v>
      </c>
      <c r="S64" t="inlineStr">
        <is>
          <t>Fixed SL Exit</t>
        </is>
      </c>
      <c r="T64" t="n">
        <v>0.6564</v>
      </c>
      <c r="U64" t="inlineStr"/>
      <c r="V64" t="inlineStr">
        <is>
          <t>2025-12-11</t>
        </is>
      </c>
      <c r="W64" t="inlineStr">
        <is>
          <t>Between R1 and S1</t>
        </is>
      </c>
      <c r="X64" t="n">
        <v>25795.8</v>
      </c>
      <c r="Y64" t="n">
        <v>25892.25</v>
      </c>
      <c r="Z64" t="n">
        <v>25679.15</v>
      </c>
      <c r="AA64" t="n">
        <v>26026.5</v>
      </c>
      <c r="AB64" t="n">
        <v>25600.3</v>
      </c>
      <c r="AC64" t="n">
        <v>26105.35</v>
      </c>
      <c r="AD64" t="n">
        <v>25466.05</v>
      </c>
    </row>
    <row r="65">
      <c r="A65">
        <f>HYPERLINK("../../data/DEC16_DYNAMIC/DEC12/OTM/NIFTY25D1626000CE_strategy.csv", "NIFTY25D1626000CE")</f>
        <v/>
      </c>
      <c r="B65" t="inlineStr">
        <is>
          <t>CE</t>
        </is>
      </c>
      <c r="C65" t="inlineStr">
        <is>
          <t>11:02:01</t>
        </is>
      </c>
      <c r="D65" t="inlineStr">
        <is>
          <t>11:44:00</t>
        </is>
      </c>
      <c r="E65" t="n">
        <v>86.40000000000001</v>
      </c>
      <c r="F65" t="n">
        <v>107.5</v>
      </c>
      <c r="G65" t="n">
        <v>96884.36</v>
      </c>
      <c r="H65" t="n">
        <v>100000</v>
      </c>
      <c r="I65" t="n">
        <v>70000</v>
      </c>
      <c r="J65" t="inlineStr">
        <is>
          <t>EXECUTED</t>
        </is>
      </c>
      <c r="K65" t="n">
        <v>33.1</v>
      </c>
      <c r="L65" t="n">
        <v>-11.17</v>
      </c>
      <c r="M65">
        <f>HYPERLINK("../../data/DEC16_DYNAMIC/DEC12/OTM/NIFTY25D1626000CE_strategy.html", "View")</f>
        <v/>
      </c>
      <c r="N65" t="inlineStr"/>
      <c r="O65" t="inlineStr"/>
      <c r="P65" t="inlineStr">
        <is>
          <t>NEUTRAL</t>
        </is>
      </c>
      <c r="Q65" t="inlineStr">
        <is>
          <t>INCLUDED</t>
        </is>
      </c>
      <c r="R65" t="n">
        <v>24.42</v>
      </c>
      <c r="S65" t="inlineStr">
        <is>
          <t>Dynamic Trailing MA (Fast/Slow MA)</t>
        </is>
      </c>
      <c r="T65" t="n">
        <v>0.5696</v>
      </c>
      <c r="U65" t="n">
        <v>0.7334000000000001</v>
      </c>
      <c r="V65" t="inlineStr">
        <is>
          <t>2025-12-12</t>
        </is>
      </c>
      <c r="W65" t="inlineStr">
        <is>
          <t>Between R1 and S1</t>
        </is>
      </c>
      <c r="X65" t="n">
        <v>25975.6</v>
      </c>
      <c r="Y65" t="n">
        <v>25983.15</v>
      </c>
      <c r="Z65" t="n">
        <v>25753.6</v>
      </c>
      <c r="AA65" t="n">
        <v>26067.75</v>
      </c>
      <c r="AB65" t="n">
        <v>25608.65</v>
      </c>
      <c r="AC65" t="n">
        <v>26212.7</v>
      </c>
      <c r="AD65" t="n">
        <v>25524.05</v>
      </c>
    </row>
    <row r="66">
      <c r="A66">
        <f>HYPERLINK("../../data/DEC16_DYNAMIC/DEC12/OTM/NIFTY25D1626000CE_strategy.csv", "NIFTY25D1626000CE")</f>
        <v/>
      </c>
      <c r="B66" t="inlineStr">
        <is>
          <t>CE</t>
        </is>
      </c>
      <c r="C66" t="inlineStr">
        <is>
          <t>10:56:01</t>
        </is>
      </c>
      <c r="D66" t="inlineStr">
        <is>
          <t>10:58:00</t>
        </is>
      </c>
      <c r="E66" t="n">
        <v>86.3</v>
      </c>
      <c r="F66" t="n">
        <v>79.40000000000001</v>
      </c>
      <c r="G66" t="n">
        <v>77868.8</v>
      </c>
      <c r="H66" t="n">
        <v>100000</v>
      </c>
      <c r="I66" t="n">
        <v>70000</v>
      </c>
      <c r="J66" t="inlineStr">
        <is>
          <t>EXECUTED</t>
        </is>
      </c>
      <c r="K66" t="n">
        <v>0</v>
      </c>
      <c r="L66" t="n">
        <v>-8.69</v>
      </c>
      <c r="M66">
        <f>HYPERLINK("../../data/DEC16_DYNAMIC/DEC12/OTM/NIFTY25D1626000CE_strategy.html", "View")</f>
        <v/>
      </c>
      <c r="N66" t="inlineStr"/>
      <c r="O66" t="inlineStr"/>
      <c r="P66" t="inlineStr">
        <is>
          <t>NEUTRAL</t>
        </is>
      </c>
      <c r="Q66" t="inlineStr">
        <is>
          <t>INCLUDED</t>
        </is>
      </c>
      <c r="R66" t="n">
        <v>-8</v>
      </c>
      <c r="S66" t="inlineStr">
        <is>
          <t>Fixed Stop Loss</t>
        </is>
      </c>
      <c r="T66" t="n">
        <v>0.5067</v>
      </c>
      <c r="U66" t="inlineStr"/>
      <c r="V66" t="inlineStr">
        <is>
          <t>2025-12-12</t>
        </is>
      </c>
      <c r="W66" t="inlineStr">
        <is>
          <t>Between R1 and S1</t>
        </is>
      </c>
      <c r="X66" t="n">
        <v>25965.25</v>
      </c>
      <c r="Y66" t="n">
        <v>25983.15</v>
      </c>
      <c r="Z66" t="n">
        <v>25753.6</v>
      </c>
      <c r="AA66" t="n">
        <v>26067.75</v>
      </c>
      <c r="AB66" t="n">
        <v>25608.65</v>
      </c>
      <c r="AC66" t="n">
        <v>26212.7</v>
      </c>
      <c r="AD66" t="n">
        <v>25524.05</v>
      </c>
    </row>
    <row r="67">
      <c r="A67">
        <f>HYPERLINK("../../data/DEC16_DYNAMIC/DEC12/OTM/NIFTY25D1626000CE_strategy.csv", "NIFTY25D1626000CE")</f>
        <v/>
      </c>
      <c r="B67" t="inlineStr">
        <is>
          <t>CE</t>
        </is>
      </c>
      <c r="C67" t="inlineStr">
        <is>
          <t>10:32:01</t>
        </is>
      </c>
      <c r="D67" t="inlineStr">
        <is>
          <t>10:49:00</t>
        </is>
      </c>
      <c r="E67" t="n">
        <v>88.34999999999999</v>
      </c>
      <c r="F67" t="n">
        <v>81.28</v>
      </c>
      <c r="G67" t="n">
        <v>84640</v>
      </c>
      <c r="H67" t="n">
        <v>100000</v>
      </c>
      <c r="I67" t="n">
        <v>70000</v>
      </c>
      <c r="J67" t="inlineStr">
        <is>
          <t>EXECUTED</t>
        </is>
      </c>
      <c r="K67" t="n">
        <v>6.73</v>
      </c>
      <c r="L67" t="n">
        <v>-15.68</v>
      </c>
      <c r="M67">
        <f>HYPERLINK("../../data/DEC16_DYNAMIC/DEC12/OTM/NIFTY25D1626000CE_strategy.html", "View")</f>
        <v/>
      </c>
      <c r="N67" t="inlineStr"/>
      <c r="O67" t="inlineStr"/>
      <c r="P67" t="inlineStr">
        <is>
          <t>NEUTRAL</t>
        </is>
      </c>
      <c r="Q67" t="inlineStr">
        <is>
          <t>INCLUDED</t>
        </is>
      </c>
      <c r="R67" t="n">
        <v>-8</v>
      </c>
      <c r="S67" t="inlineStr">
        <is>
          <t>Fixed Stop Loss</t>
        </is>
      </c>
      <c r="T67" t="n">
        <v>0.2463</v>
      </c>
      <c r="U67" t="inlineStr"/>
      <c r="V67" t="inlineStr">
        <is>
          <t>2025-12-12</t>
        </is>
      </c>
      <c r="W67" t="inlineStr">
        <is>
          <t>Between R1 and S1</t>
        </is>
      </c>
      <c r="X67" t="n">
        <v>25969</v>
      </c>
      <c r="Y67" t="n">
        <v>25983.15</v>
      </c>
      <c r="Z67" t="n">
        <v>25753.6</v>
      </c>
      <c r="AA67" t="n">
        <v>26067.75</v>
      </c>
      <c r="AB67" t="n">
        <v>25608.65</v>
      </c>
      <c r="AC67" t="n">
        <v>26212.7</v>
      </c>
      <c r="AD67" t="n">
        <v>25524.05</v>
      </c>
    </row>
    <row r="68">
      <c r="A68">
        <f>HYPERLINK("../../data/DEC16_DYNAMIC/DEC15/OTM/NIFTY25D1626050CE_strategy.csv", "NIFTY25D1626050CE")</f>
        <v/>
      </c>
      <c r="B68" t="inlineStr">
        <is>
          <t>CE</t>
        </is>
      </c>
      <c r="C68" t="inlineStr">
        <is>
          <t>14:03:01</t>
        </is>
      </c>
      <c r="D68" t="inlineStr">
        <is>
          <t>14:07:00</t>
        </is>
      </c>
      <c r="E68" t="n">
        <v>55.85</v>
      </c>
      <c r="F68" t="n">
        <v>51.38</v>
      </c>
      <c r="G68" t="n">
        <v>95281.60000000001</v>
      </c>
      <c r="H68" t="n">
        <v>141903.69</v>
      </c>
      <c r="I68" t="n">
        <v>99332.58</v>
      </c>
      <c r="J68" t="inlineStr">
        <is>
          <t>EXECUTED</t>
        </is>
      </c>
      <c r="K68" t="n">
        <v>2.6</v>
      </c>
      <c r="L68" t="n">
        <v>-17.46</v>
      </c>
      <c r="M68">
        <f>HYPERLINK("../../data/DEC16_DYNAMIC/DEC15/OTM/NIFTY25D1626050CE_strategy.html", "View")</f>
        <v/>
      </c>
      <c r="N68" t="inlineStr"/>
      <c r="O68" t="inlineStr"/>
      <c r="P68" t="inlineStr">
        <is>
          <t>BULLISH</t>
        </is>
      </c>
      <c r="Q68" t="inlineStr">
        <is>
          <t>INCLUDED (HYBRID_v5_BULLISH_CE)</t>
        </is>
      </c>
      <c r="R68" t="n">
        <v>-8</v>
      </c>
      <c r="S68" t="inlineStr">
        <is>
          <t>Fixed SL Exit</t>
        </is>
      </c>
      <c r="T68" t="n">
        <v>0.5107</v>
      </c>
      <c r="U68" t="inlineStr"/>
      <c r="V68" t="inlineStr">
        <is>
          <t>2025-12-15</t>
        </is>
      </c>
      <c r="W68" t="inlineStr">
        <is>
          <t>Between R1 and S1</t>
        </is>
      </c>
      <c r="X68" t="n">
        <v>26037.4</v>
      </c>
      <c r="Y68" t="n">
        <v>26090.22</v>
      </c>
      <c r="Z68" t="n">
        <v>25971.07</v>
      </c>
      <c r="AA68" t="n">
        <v>26133.48</v>
      </c>
      <c r="AB68" t="n">
        <v>25895.18</v>
      </c>
      <c r="AC68" t="n">
        <v>26209.37</v>
      </c>
      <c r="AD68" t="n">
        <v>25851.92</v>
      </c>
    </row>
    <row r="69">
      <c r="A69">
        <f>HYPERLINK("../../data/DEC16_DYNAMIC/DEC15/OTM/NIFTY25D1626050CE_strategy.csv", "NIFTY25D1626050CE")</f>
        <v/>
      </c>
      <c r="B69" t="inlineStr">
        <is>
          <t>CE</t>
        </is>
      </c>
      <c r="C69" t="inlineStr">
        <is>
          <t>13:48:01</t>
        </is>
      </c>
      <c r="D69" t="inlineStr">
        <is>
          <t>13:51:00</t>
        </is>
      </c>
      <c r="E69" t="n">
        <v>54.55</v>
      </c>
      <c r="F69" t="n">
        <v>50.19</v>
      </c>
      <c r="G69" t="n">
        <v>101060.65</v>
      </c>
      <c r="H69" t="n">
        <v>141903.69</v>
      </c>
      <c r="I69" t="n">
        <v>99332.58</v>
      </c>
      <c r="J69" t="inlineStr">
        <is>
          <t>EXECUTED</t>
        </is>
      </c>
      <c r="K69" t="n">
        <v>2.02</v>
      </c>
      <c r="L69" t="n">
        <v>-12.01</v>
      </c>
      <c r="M69">
        <f>HYPERLINK("../../data/DEC16_DYNAMIC/DEC15/OTM/NIFTY25D1626050CE_strategy.html", "View")</f>
        <v/>
      </c>
      <c r="N69" t="inlineStr"/>
      <c r="O69" t="inlineStr"/>
      <c r="P69" t="inlineStr">
        <is>
          <t>BULLISH</t>
        </is>
      </c>
      <c r="Q69" t="inlineStr">
        <is>
          <t>INCLUDED (HYBRID_v5_BULLISH_CE)</t>
        </is>
      </c>
      <c r="R69" t="n">
        <v>-7.99</v>
      </c>
      <c r="S69" t="inlineStr">
        <is>
          <t>Fixed Stop Loss</t>
        </is>
      </c>
      <c r="T69" t="n">
        <v>0.5413</v>
      </c>
      <c r="U69" t="inlineStr"/>
      <c r="V69" t="inlineStr">
        <is>
          <t>2025-12-15</t>
        </is>
      </c>
      <c r="W69" t="inlineStr">
        <is>
          <t>Between R1 and S1</t>
        </is>
      </c>
      <c r="X69" t="n">
        <v>26031.05</v>
      </c>
      <c r="Y69" t="n">
        <v>26090.22</v>
      </c>
      <c r="Z69" t="n">
        <v>25971.07</v>
      </c>
      <c r="AA69" t="n">
        <v>26133.48</v>
      </c>
      <c r="AB69" t="n">
        <v>25895.18</v>
      </c>
      <c r="AC69" t="n">
        <v>26209.37</v>
      </c>
      <c r="AD69" t="n">
        <v>25851.92</v>
      </c>
    </row>
    <row r="70">
      <c r="A70">
        <f>HYPERLINK("../../data/DEC16_DYNAMIC/DEC15/OTM/NIFTY25D1626050CE_strategy.csv", "NIFTY25D1626050CE")</f>
        <v/>
      </c>
      <c r="B70" t="inlineStr">
        <is>
          <t>CE</t>
        </is>
      </c>
      <c r="C70" t="inlineStr">
        <is>
          <t>13:34:01</t>
        </is>
      </c>
      <c r="D70" t="inlineStr">
        <is>
          <t>13:43:00</t>
        </is>
      </c>
      <c r="E70" t="n">
        <v>54.05</v>
      </c>
      <c r="F70" t="n">
        <v>49.73</v>
      </c>
      <c r="G70" t="n">
        <v>109836.6</v>
      </c>
      <c r="H70" t="n">
        <v>141903.69</v>
      </c>
      <c r="I70" t="n">
        <v>99332.58</v>
      </c>
      <c r="J70" t="inlineStr">
        <is>
          <t>EXECUTED</t>
        </is>
      </c>
      <c r="K70" t="n">
        <v>5.09</v>
      </c>
      <c r="L70" t="n">
        <v>-7.86</v>
      </c>
      <c r="M70">
        <f>HYPERLINK("../../data/DEC16_DYNAMIC/DEC15/OTM/NIFTY25D1626050CE_strategy.html", "View")</f>
        <v/>
      </c>
      <c r="N70" t="inlineStr"/>
      <c r="O70" t="inlineStr"/>
      <c r="P70" t="inlineStr">
        <is>
          <t>NEUTRAL</t>
        </is>
      </c>
      <c r="Q70" t="inlineStr">
        <is>
          <t>INCLUDED</t>
        </is>
      </c>
      <c r="R70" t="n">
        <v>-7.99</v>
      </c>
      <c r="S70" t="inlineStr">
        <is>
          <t>Fixed Stop Loss</t>
        </is>
      </c>
      <c r="T70" t="n">
        <v>0.5411</v>
      </c>
      <c r="U70" t="inlineStr"/>
      <c r="V70" t="inlineStr">
        <is>
          <t>2025-12-15</t>
        </is>
      </c>
      <c r="W70" t="inlineStr">
        <is>
          <t>Between R1 and S1</t>
        </is>
      </c>
      <c r="X70" t="n">
        <v>26031.6</v>
      </c>
      <c r="Y70" t="n">
        <v>26090.22</v>
      </c>
      <c r="Z70" t="n">
        <v>25971.07</v>
      </c>
      <c r="AA70" t="n">
        <v>26133.48</v>
      </c>
      <c r="AB70" t="n">
        <v>25895.18</v>
      </c>
      <c r="AC70" t="n">
        <v>26209.37</v>
      </c>
      <c r="AD70" t="n">
        <v>25851.92</v>
      </c>
    </row>
    <row r="71">
      <c r="A71">
        <f>HYPERLINK("../../data/DEC16_DYNAMIC/DEC15/OTM/NIFTY25D1626000PE_strategy.csv", "NIFTY25D1626000PE")</f>
        <v/>
      </c>
      <c r="B71" t="inlineStr">
        <is>
          <t>PE</t>
        </is>
      </c>
      <c r="C71" t="inlineStr">
        <is>
          <t>13:20:01</t>
        </is>
      </c>
      <c r="D71" t="inlineStr">
        <is>
          <t>13:53:00</t>
        </is>
      </c>
      <c r="E71" t="n">
        <v>50.5</v>
      </c>
      <c r="F71" t="n">
        <v>51.75</v>
      </c>
      <c r="G71" t="n">
        <v>103566.96</v>
      </c>
      <c r="H71" t="n">
        <v>141903.69</v>
      </c>
      <c r="I71" t="n">
        <v>99332.58</v>
      </c>
      <c r="J71" t="inlineStr">
        <is>
          <t>EXECUTED</t>
        </is>
      </c>
      <c r="K71" t="n">
        <v>8.220000000000001</v>
      </c>
      <c r="L71" t="n">
        <v>-9.41</v>
      </c>
      <c r="M71">
        <f>HYPERLINK("../../data/DEC16_DYNAMIC/DEC15/OTM/NIFTY25D1626000PE_strategy.html", "View")</f>
        <v/>
      </c>
      <c r="N71" t="inlineStr"/>
      <c r="O71" t="inlineStr"/>
      <c r="P71" t="inlineStr">
        <is>
          <t>BEARISH</t>
        </is>
      </c>
      <c r="Q71" t="inlineStr">
        <is>
          <t>INCLUDED (HYBRID_v5_BEARISH_PE)</t>
        </is>
      </c>
      <c r="R71" t="n">
        <v>2.48</v>
      </c>
      <c r="S71" t="inlineStr">
        <is>
          <t>Dynamic Trailing MA (Fast/Slow MA)</t>
        </is>
      </c>
      <c r="T71" t="n">
        <v>0.489</v>
      </c>
      <c r="U71" t="n">
        <v>0.5923</v>
      </c>
      <c r="V71" t="inlineStr">
        <is>
          <t>2025-12-15</t>
        </is>
      </c>
      <c r="W71" t="inlineStr">
        <is>
          <t>Between R1 and S1</t>
        </is>
      </c>
      <c r="X71" t="n">
        <v>26029.95</v>
      </c>
      <c r="Y71" t="n">
        <v>26090.22</v>
      </c>
      <c r="Z71" t="n">
        <v>25971.07</v>
      </c>
      <c r="AA71" t="n">
        <v>26133.48</v>
      </c>
      <c r="AB71" t="n">
        <v>25895.18</v>
      </c>
      <c r="AC71" t="n">
        <v>26209.37</v>
      </c>
      <c r="AD71" t="n">
        <v>25851.92</v>
      </c>
    </row>
    <row r="72">
      <c r="A72">
        <f>HYPERLINK("../../data/DEC16_DYNAMIC/DEC15/OTM/NIFTY25D1626050CE_strategy.csv", "NIFTY25D1626050CE")</f>
        <v/>
      </c>
      <c r="B72" t="inlineStr">
        <is>
          <t>CE</t>
        </is>
      </c>
      <c r="C72" t="inlineStr">
        <is>
          <t>13:01:01</t>
        </is>
      </c>
      <c r="D72" t="inlineStr">
        <is>
          <t>13:20:00</t>
        </is>
      </c>
      <c r="E72" t="n">
        <v>52.6</v>
      </c>
      <c r="F72" t="n">
        <v>52.28</v>
      </c>
      <c r="G72" t="n">
        <v>119374.63</v>
      </c>
      <c r="H72" t="n">
        <v>141903.69</v>
      </c>
      <c r="I72" t="n">
        <v>99332.58</v>
      </c>
      <c r="J72" t="inlineStr">
        <is>
          <t>EXECUTED</t>
        </is>
      </c>
      <c r="K72" t="n">
        <v>17.02</v>
      </c>
      <c r="L72" t="n">
        <v>-15.02</v>
      </c>
      <c r="M72">
        <f>HYPERLINK("../../data/DEC16_DYNAMIC/DEC15/OTM/NIFTY25D1626050CE_strategy.html", "View")</f>
        <v/>
      </c>
      <c r="N72" t="inlineStr"/>
      <c r="O72" t="inlineStr"/>
      <c r="P72" t="inlineStr">
        <is>
          <t>NEUTRAL</t>
        </is>
      </c>
      <c r="Q72" t="inlineStr">
        <is>
          <t>INCLUDED</t>
        </is>
      </c>
      <c r="R72" t="n">
        <v>-0.61</v>
      </c>
      <c r="S72" t="inlineStr">
        <is>
          <t>SuperTrend Stop Loss Exit</t>
        </is>
      </c>
      <c r="T72" t="n">
        <v>0.5581</v>
      </c>
      <c r="U72" t="n">
        <v>0.5561</v>
      </c>
      <c r="V72" t="inlineStr">
        <is>
          <t>2025-12-15</t>
        </is>
      </c>
      <c r="W72" t="inlineStr">
        <is>
          <t>Between R1 and S1</t>
        </is>
      </c>
      <c r="X72" t="n">
        <v>26017.45</v>
      </c>
      <c r="Y72" t="n">
        <v>26090.22</v>
      </c>
      <c r="Z72" t="n">
        <v>25971.07</v>
      </c>
      <c r="AA72" t="n">
        <v>26133.48</v>
      </c>
      <c r="AB72" t="n">
        <v>25895.18</v>
      </c>
      <c r="AC72" t="n">
        <v>26209.37</v>
      </c>
      <c r="AD72" t="n">
        <v>25851.92</v>
      </c>
    </row>
    <row r="73">
      <c r="A73">
        <f>HYPERLINK("../../data/DEC16_DYNAMIC/DEC15/OTM/NIFTY25D1626050CE_strategy.csv", "NIFTY25D1626050CE")</f>
        <v/>
      </c>
      <c r="B73" t="inlineStr">
        <is>
          <t>CE</t>
        </is>
      </c>
      <c r="C73" t="inlineStr">
        <is>
          <t>12:51:01</t>
        </is>
      </c>
      <c r="D73" t="inlineStr">
        <is>
          <t>12:56:00</t>
        </is>
      </c>
      <c r="E73" t="n">
        <v>52.1</v>
      </c>
      <c r="F73" t="n">
        <v>47.93</v>
      </c>
      <c r="G73" t="n">
        <v>120107.28</v>
      </c>
      <c r="H73" t="n">
        <v>141903.69</v>
      </c>
      <c r="I73" t="n">
        <v>99332.58</v>
      </c>
      <c r="J73" t="inlineStr">
        <is>
          <t>EXECUTED</t>
        </is>
      </c>
      <c r="K73" t="n">
        <v>5.18</v>
      </c>
      <c r="L73" t="n">
        <v>-11.13</v>
      </c>
      <c r="M73">
        <f>HYPERLINK("../../data/DEC16_DYNAMIC/DEC15/OTM/NIFTY25D1626050CE_strategy.html", "View")</f>
        <v/>
      </c>
      <c r="N73" t="inlineStr"/>
      <c r="O73" t="inlineStr"/>
      <c r="P73" t="inlineStr">
        <is>
          <t>NEUTRAL</t>
        </is>
      </c>
      <c r="Q73" t="inlineStr">
        <is>
          <t>INCLUDED</t>
        </is>
      </c>
      <c r="R73" t="n">
        <v>-8</v>
      </c>
      <c r="S73" t="inlineStr">
        <is>
          <t>Fixed Stop Loss</t>
        </is>
      </c>
      <c r="T73" t="n">
        <v>0.3579</v>
      </c>
      <c r="U73" t="inlineStr"/>
      <c r="V73" t="inlineStr">
        <is>
          <t>2025-12-15</t>
        </is>
      </c>
      <c r="W73" t="inlineStr">
        <is>
          <t>Between R1 and S1</t>
        </is>
      </c>
      <c r="X73" t="n">
        <v>26017.35</v>
      </c>
      <c r="Y73" t="n">
        <v>26090.22</v>
      </c>
      <c r="Z73" t="n">
        <v>25971.07</v>
      </c>
      <c r="AA73" t="n">
        <v>26133.48</v>
      </c>
      <c r="AB73" t="n">
        <v>25895.18</v>
      </c>
      <c r="AC73" t="n">
        <v>26209.37</v>
      </c>
      <c r="AD73" t="n">
        <v>25851.92</v>
      </c>
    </row>
    <row r="74">
      <c r="A74">
        <f>HYPERLINK("../../data/DEC16_DYNAMIC/DEC15/OTM/NIFTY25D1626000PE_strategy.csv", "NIFTY25D1626000PE")</f>
        <v/>
      </c>
      <c r="B74" t="inlineStr">
        <is>
          <t>PE</t>
        </is>
      </c>
      <c r="C74" t="inlineStr">
        <is>
          <t>12:42:01</t>
        </is>
      </c>
      <c r="D74" t="inlineStr">
        <is>
          <t>12:53:00</t>
        </is>
      </c>
      <c r="E74" t="n">
        <v>57.5</v>
      </c>
      <c r="F74" t="n">
        <v>52.9</v>
      </c>
      <c r="G74" t="n">
        <v>130551.4</v>
      </c>
      <c r="H74" t="n">
        <v>141903.69</v>
      </c>
      <c r="I74" t="n">
        <v>99332.58</v>
      </c>
      <c r="J74" t="inlineStr">
        <is>
          <t>EXECUTED</t>
        </is>
      </c>
      <c r="K74" t="n">
        <v>6.96</v>
      </c>
      <c r="L74" t="n">
        <v>-9.130000000000001</v>
      </c>
      <c r="M74">
        <f>HYPERLINK("../../data/DEC16_DYNAMIC/DEC15/OTM/NIFTY25D1626000PE_strategy.html", "View")</f>
        <v/>
      </c>
      <c r="N74" t="inlineStr"/>
      <c r="O74" t="inlineStr"/>
      <c r="P74" t="inlineStr">
        <is>
          <t>NEUTRAL</t>
        </is>
      </c>
      <c r="Q74" t="inlineStr">
        <is>
          <t>INCLUDED</t>
        </is>
      </c>
      <c r="R74" t="n">
        <v>-8</v>
      </c>
      <c r="S74" t="inlineStr">
        <is>
          <t>Fixed Stop Loss</t>
        </is>
      </c>
      <c r="T74" t="n">
        <v>0.4789</v>
      </c>
      <c r="U74" t="inlineStr"/>
      <c r="V74" t="inlineStr">
        <is>
          <t>2025-12-15</t>
        </is>
      </c>
      <c r="W74" t="inlineStr">
        <is>
          <t>Between R1 and S1</t>
        </is>
      </c>
      <c r="X74" t="n">
        <v>26009.05</v>
      </c>
      <c r="Y74" t="n">
        <v>26090.22</v>
      </c>
      <c r="Z74" t="n">
        <v>25971.07</v>
      </c>
      <c r="AA74" t="n">
        <v>26133.48</v>
      </c>
      <c r="AB74" t="n">
        <v>25895.18</v>
      </c>
      <c r="AC74" t="n">
        <v>26209.37</v>
      </c>
      <c r="AD74" t="n">
        <v>25851.92</v>
      </c>
    </row>
    <row r="75">
      <c r="A75">
        <f>HYPERLINK("../../data/DEC16_DYNAMIC/DEC15/OTM/NIFTY25D1626000CE_strategy.csv", "NIFTY25D1626000CE")</f>
        <v/>
      </c>
      <c r="B75" t="inlineStr">
        <is>
          <t>CE</t>
        </is>
      </c>
      <c r="C75" t="inlineStr">
        <is>
          <t>11:47:01</t>
        </is>
      </c>
      <c r="D75" t="inlineStr">
        <is>
          <t>12:33:00</t>
        </is>
      </c>
      <c r="E75" t="n">
        <v>52.75</v>
      </c>
      <c r="F75" t="n">
        <v>83.45</v>
      </c>
      <c r="G75" t="n">
        <v>141903.69</v>
      </c>
      <c r="H75" t="n">
        <v>141903.69</v>
      </c>
      <c r="I75" t="n">
        <v>99332.58</v>
      </c>
      <c r="J75" t="inlineStr">
        <is>
          <t>EXECUTED</t>
        </is>
      </c>
      <c r="K75" t="n">
        <v>68.25</v>
      </c>
      <c r="L75" t="n">
        <v>-9.949999999999999</v>
      </c>
      <c r="M75">
        <f>HYPERLINK("../../data/DEC16_DYNAMIC/DEC15/OTM/NIFTY25D1626000CE_strategy.html", "View")</f>
        <v/>
      </c>
      <c r="N75" t="inlineStr"/>
      <c r="O75" t="inlineStr"/>
      <c r="P75" t="inlineStr">
        <is>
          <t>BULLISH</t>
        </is>
      </c>
      <c r="Q75" t="inlineStr">
        <is>
          <t>INCLUDED (HYBRID_v5_BULLISH_CE)</t>
        </is>
      </c>
      <c r="R75" t="n">
        <v>58.2</v>
      </c>
      <c r="S75" t="inlineStr">
        <is>
          <t>Dynamic Trailing MA (Fast/Slow MA)</t>
        </is>
      </c>
      <c r="T75" t="n">
        <v>0.4679</v>
      </c>
      <c r="U75" t="n">
        <v>0.7926</v>
      </c>
      <c r="V75" t="inlineStr">
        <is>
          <t>2025-12-15</t>
        </is>
      </c>
      <c r="W75" t="inlineStr">
        <is>
          <t>Between R1 and S1</t>
        </is>
      </c>
      <c r="X75" t="n">
        <v>25979.05</v>
      </c>
      <c r="Y75" t="n">
        <v>26090.22</v>
      </c>
      <c r="Z75" t="n">
        <v>25971.07</v>
      </c>
      <c r="AA75" t="n">
        <v>26133.48</v>
      </c>
      <c r="AB75" t="n">
        <v>25895.18</v>
      </c>
      <c r="AC75" t="n">
        <v>26209.37</v>
      </c>
      <c r="AD75" t="n">
        <v>25851.92</v>
      </c>
    </row>
    <row r="76">
      <c r="A76">
        <f>HYPERLINK("../../data/DEC16_DYNAMIC/DEC15/OTM/NIFTY25D1625950PE_strategy.csv", "NIFTY25D1625950PE")</f>
        <v/>
      </c>
      <c r="B76" t="inlineStr">
        <is>
          <t>PE</t>
        </is>
      </c>
      <c r="C76" t="inlineStr">
        <is>
          <t>11:33:01</t>
        </is>
      </c>
      <c r="D76" t="inlineStr">
        <is>
          <t>11:48:00</t>
        </is>
      </c>
      <c r="E76" t="n">
        <v>50.7</v>
      </c>
      <c r="F76" t="n">
        <v>51.02</v>
      </c>
      <c r="G76" t="n">
        <v>89698.92</v>
      </c>
      <c r="H76" t="n">
        <v>113290</v>
      </c>
      <c r="I76" t="n">
        <v>79303</v>
      </c>
      <c r="J76" t="inlineStr">
        <is>
          <t>EXECUTED</t>
        </is>
      </c>
      <c r="K76" t="n">
        <v>27.71</v>
      </c>
      <c r="L76" t="n">
        <v>-10.16</v>
      </c>
      <c r="M76">
        <f>HYPERLINK("../../data/DEC16_DYNAMIC/DEC15/OTM/NIFTY25D1625950PE_strategy.html", "View")</f>
        <v/>
      </c>
      <c r="N76" t="inlineStr"/>
      <c r="O76" t="inlineStr"/>
      <c r="P76" t="inlineStr">
        <is>
          <t>BEARISH</t>
        </is>
      </c>
      <c r="Q76" t="inlineStr">
        <is>
          <t>INCLUDED (HYBRID_v5_BEARISH_PE)</t>
        </is>
      </c>
      <c r="R76" t="n">
        <v>0.63</v>
      </c>
      <c r="S76" t="inlineStr">
        <is>
          <t>SuperTrend Stop Loss Exit</t>
        </is>
      </c>
      <c r="T76" t="n">
        <v>0.4138</v>
      </c>
      <c r="U76" t="n">
        <v>0.497</v>
      </c>
      <c r="V76" t="inlineStr">
        <is>
          <t>2025-12-15</t>
        </is>
      </c>
      <c r="W76" t="inlineStr">
        <is>
          <t>Between R1 and S1</t>
        </is>
      </c>
      <c r="X76" t="n">
        <v>25977.45</v>
      </c>
      <c r="Y76" t="n">
        <v>26090.22</v>
      </c>
      <c r="Z76" t="n">
        <v>25971.07</v>
      </c>
      <c r="AA76" t="n">
        <v>26133.48</v>
      </c>
      <c r="AB76" t="n">
        <v>25895.18</v>
      </c>
      <c r="AC76" t="n">
        <v>26209.37</v>
      </c>
      <c r="AD76" t="n">
        <v>25851.92</v>
      </c>
    </row>
    <row r="77">
      <c r="A77">
        <f>HYPERLINK("../../data/DEC16_DYNAMIC/DEC15/OTM/NIFTY25D1626000CE_strategy.csv", "NIFTY25D1626000CE")</f>
        <v/>
      </c>
      <c r="B77" t="inlineStr">
        <is>
          <t>CE</t>
        </is>
      </c>
      <c r="C77" t="inlineStr">
        <is>
          <t>11:26:01</t>
        </is>
      </c>
      <c r="D77" t="inlineStr">
        <is>
          <t>11:33:00</t>
        </is>
      </c>
      <c r="E77" t="n">
        <v>58.2</v>
      </c>
      <c r="F77" t="n">
        <v>53.79</v>
      </c>
      <c r="G77" t="n">
        <v>89137.35000000001</v>
      </c>
      <c r="H77" t="n">
        <v>113290</v>
      </c>
      <c r="I77" t="n">
        <v>79303</v>
      </c>
      <c r="J77" t="inlineStr">
        <is>
          <t>EXECUTED</t>
        </is>
      </c>
      <c r="K77" t="n">
        <v>13.06</v>
      </c>
      <c r="L77" t="n">
        <v>-10.91</v>
      </c>
      <c r="M77">
        <f>HYPERLINK("../../data/DEC16_DYNAMIC/DEC15/OTM/NIFTY25D1626000CE_strategy.html", "View")</f>
        <v/>
      </c>
      <c r="N77" t="inlineStr"/>
      <c r="O77" t="inlineStr"/>
      <c r="P77" t="inlineStr">
        <is>
          <t>BULLISH</t>
        </is>
      </c>
      <c r="Q77" t="inlineStr">
        <is>
          <t>INCLUDED (HYBRID_v5_BULLISH_CE)</t>
        </is>
      </c>
      <c r="R77" t="n">
        <v>-7.58</v>
      </c>
      <c r="S77" t="inlineStr">
        <is>
          <t>SuperTrend Stop Loss Exit</t>
        </is>
      </c>
      <c r="T77" t="n">
        <v>0.6231</v>
      </c>
      <c r="U77" t="n">
        <v>0.6849</v>
      </c>
      <c r="V77" t="inlineStr">
        <is>
          <t>2025-12-15</t>
        </is>
      </c>
      <c r="W77" t="inlineStr">
        <is>
          <t>Between R1 and S1</t>
        </is>
      </c>
      <c r="X77" t="n">
        <v>25981.1</v>
      </c>
      <c r="Y77" t="n">
        <v>26090.22</v>
      </c>
      <c r="Z77" t="n">
        <v>25971.07</v>
      </c>
      <c r="AA77" t="n">
        <v>26133.48</v>
      </c>
      <c r="AB77" t="n">
        <v>25895.18</v>
      </c>
      <c r="AC77" t="n">
        <v>26209.37</v>
      </c>
      <c r="AD77" t="n">
        <v>25851.92</v>
      </c>
    </row>
    <row r="78">
      <c r="A78">
        <f>HYPERLINK("../../data/DEC16_DYNAMIC/DEC15/OTM/NIFTY25D1625950PE_strategy.csv", "NIFTY25D1625950PE")</f>
        <v/>
      </c>
      <c r="B78" t="inlineStr">
        <is>
          <t>PE</t>
        </is>
      </c>
      <c r="C78" t="inlineStr">
        <is>
          <t>11:00:01</t>
        </is>
      </c>
      <c r="D78" t="inlineStr">
        <is>
          <t>11:27:00</t>
        </is>
      </c>
      <c r="E78" t="n">
        <v>54.3</v>
      </c>
      <c r="F78" t="n">
        <v>49.96</v>
      </c>
      <c r="G78" t="n">
        <v>96448.12</v>
      </c>
      <c r="H78" t="n">
        <v>113290</v>
      </c>
      <c r="I78" t="n">
        <v>79303</v>
      </c>
      <c r="J78" t="inlineStr">
        <is>
          <t>EXECUTED</t>
        </is>
      </c>
      <c r="K78" t="n">
        <v>10.22</v>
      </c>
      <c r="L78" t="n">
        <v>-7.37</v>
      </c>
      <c r="M78">
        <f>HYPERLINK("../../data/DEC16_DYNAMIC/DEC15/OTM/NIFTY25D1625950PE_strategy.html", "View")</f>
        <v/>
      </c>
      <c r="N78" t="inlineStr"/>
      <c r="O78" t="inlineStr"/>
      <c r="P78" t="inlineStr">
        <is>
          <t>BEARISH</t>
        </is>
      </c>
      <c r="Q78" t="inlineStr">
        <is>
          <t>INCLUDED (HYBRID_v5_BEARISH_PE)</t>
        </is>
      </c>
      <c r="R78" t="n">
        <v>-7.99</v>
      </c>
      <c r="S78" t="inlineStr">
        <is>
          <t>Fixed Stop Loss</t>
        </is>
      </c>
      <c r="T78" t="n">
        <v>0.2453</v>
      </c>
      <c r="U78" t="n">
        <v>0.7679</v>
      </c>
      <c r="V78" t="inlineStr">
        <is>
          <t>2025-12-15</t>
        </is>
      </c>
      <c r="W78" t="inlineStr">
        <is>
          <t>Between R1 and S1</t>
        </is>
      </c>
      <c r="X78" t="n">
        <v>25988.05</v>
      </c>
      <c r="Y78" t="n">
        <v>26090.22</v>
      </c>
      <c r="Z78" t="n">
        <v>25971.07</v>
      </c>
      <c r="AA78" t="n">
        <v>26133.48</v>
      </c>
      <c r="AB78" t="n">
        <v>25895.18</v>
      </c>
      <c r="AC78" t="n">
        <v>26209.37</v>
      </c>
      <c r="AD78" t="n">
        <v>25851.92</v>
      </c>
    </row>
    <row r="79">
      <c r="A79">
        <f>HYPERLINK("../../data/JAN13_DYNAMIC/JAN07/OTM/NIFTY2611326100PE_strategy.csv", "NIFTY2611326100PE")</f>
        <v/>
      </c>
      <c r="B79" t="inlineStr">
        <is>
          <t>PE</t>
        </is>
      </c>
      <c r="C79" t="inlineStr">
        <is>
          <t>15:17:01</t>
        </is>
      </c>
      <c r="D79" t="inlineStr">
        <is>
          <t>15:18:00</t>
        </is>
      </c>
      <c r="E79" t="n">
        <v>68</v>
      </c>
      <c r="F79" t="n">
        <v>69</v>
      </c>
      <c r="G79" t="n">
        <v>92525.69</v>
      </c>
      <c r="H79" t="n">
        <v>110202.95</v>
      </c>
      <c r="I79" t="n">
        <v>77142.07000000001</v>
      </c>
      <c r="J79" t="inlineStr">
        <is>
          <t>EXECUTED</t>
        </is>
      </c>
      <c r="K79" t="n">
        <v>4.04</v>
      </c>
      <c r="L79" t="n">
        <v>-8.68</v>
      </c>
      <c r="M79">
        <f>HYPERLINK("../../data/JAN13_DYNAMIC/JAN07/OTM/NIFTY2611326100PE_strategy.html", "View")</f>
        <v/>
      </c>
      <c r="N79" t="inlineStr"/>
      <c r="O79" t="inlineStr"/>
      <c r="P79" t="inlineStr">
        <is>
          <t>NEUTRAL</t>
        </is>
      </c>
      <c r="Q79" t="inlineStr">
        <is>
          <t>INCLUDED</t>
        </is>
      </c>
      <c r="R79" t="n">
        <v>1.47</v>
      </c>
      <c r="S79" t="inlineStr">
        <is>
          <t>EOD Exit</t>
        </is>
      </c>
      <c r="T79" t="n">
        <v>0.352</v>
      </c>
      <c r="U79" t="inlineStr"/>
      <c r="V79" t="inlineStr">
        <is>
          <t>2026-01-07</t>
        </is>
      </c>
      <c r="W79" t="inlineStr">
        <is>
          <t>Between R1 and S1</t>
        </is>
      </c>
      <c r="X79" t="n">
        <v>26142.15</v>
      </c>
      <c r="Y79" t="n">
        <v>26260.18</v>
      </c>
      <c r="Z79" t="n">
        <v>26110.98</v>
      </c>
      <c r="AA79" t="n">
        <v>26341.67</v>
      </c>
      <c r="AB79" t="n">
        <v>26043.27</v>
      </c>
      <c r="AC79" t="n">
        <v>26409.38</v>
      </c>
      <c r="AD79" t="n">
        <v>25961.78</v>
      </c>
    </row>
    <row r="80">
      <c r="A80">
        <f>HYPERLINK("../../data/JAN13_DYNAMIC/JAN07/OTM/NIFTY2611326100PE_strategy.csv", "NIFTY2611326100PE")</f>
        <v/>
      </c>
      <c r="B80" t="inlineStr">
        <is>
          <t>PE</t>
        </is>
      </c>
      <c r="C80" t="inlineStr">
        <is>
          <t>11:43:01</t>
        </is>
      </c>
      <c r="D80" t="inlineStr">
        <is>
          <t>12:20:00</t>
        </is>
      </c>
      <c r="E80" t="n">
        <v>66.40000000000001</v>
      </c>
      <c r="F80" t="n">
        <v>79.45</v>
      </c>
      <c r="G80" t="n">
        <v>110202.95</v>
      </c>
      <c r="H80" t="n">
        <v>110202.95</v>
      </c>
      <c r="I80" t="n">
        <v>77142.07000000001</v>
      </c>
      <c r="J80" t="inlineStr">
        <is>
          <t>EXECUTED</t>
        </is>
      </c>
      <c r="K80" t="n">
        <v>20.71</v>
      </c>
      <c r="L80" t="n">
        <v>-7.68</v>
      </c>
      <c r="M80">
        <f>HYPERLINK("../../data/JAN13_DYNAMIC/JAN07/OTM/NIFTY2611326100PE_strategy.html", "View")</f>
        <v/>
      </c>
      <c r="N80" t="inlineStr"/>
      <c r="O80" t="inlineStr"/>
      <c r="P80" t="inlineStr">
        <is>
          <t>NEUTRAL</t>
        </is>
      </c>
      <c r="Q80" t="inlineStr">
        <is>
          <t>INCLUDED</t>
        </is>
      </c>
      <c r="R80" t="n">
        <v>19.65</v>
      </c>
      <c r="S80" t="inlineStr">
        <is>
          <t>Dynamic Trailing MA (Fast/Slow MA)</t>
        </is>
      </c>
      <c r="T80" t="n">
        <v>0.5235</v>
      </c>
      <c r="U80" t="n">
        <v>0.72</v>
      </c>
      <c r="V80" t="inlineStr">
        <is>
          <t>2026-01-07</t>
        </is>
      </c>
      <c r="W80" t="inlineStr">
        <is>
          <t>Between R1 and S1</t>
        </is>
      </c>
      <c r="X80" t="n">
        <v>26145.2</v>
      </c>
      <c r="Y80" t="n">
        <v>26260.18</v>
      </c>
      <c r="Z80" t="n">
        <v>26110.98</v>
      </c>
      <c r="AA80" t="n">
        <v>26341.67</v>
      </c>
      <c r="AB80" t="n">
        <v>26043.27</v>
      </c>
      <c r="AC80" t="n">
        <v>26409.38</v>
      </c>
      <c r="AD80" t="n">
        <v>25961.78</v>
      </c>
    </row>
    <row r="81">
      <c r="A81">
        <f>HYPERLINK("../../data/JAN13_DYNAMIC/JAN07/OTM/NIFTY2611326200CE_strategy.csv", "NIFTY2611326200CE")</f>
        <v/>
      </c>
      <c r="B81" t="inlineStr">
        <is>
          <t>CE</t>
        </is>
      </c>
      <c r="C81" t="inlineStr">
        <is>
          <t>11:28:01</t>
        </is>
      </c>
      <c r="D81" t="inlineStr">
        <is>
          <t>11:29:00</t>
        </is>
      </c>
      <c r="E81" t="n">
        <v>94.7</v>
      </c>
      <c r="F81" t="n">
        <v>87.12</v>
      </c>
      <c r="G81" t="n">
        <v>94456.39999999999</v>
      </c>
      <c r="H81" t="n">
        <v>106328.2</v>
      </c>
      <c r="I81" t="n">
        <v>74429.74000000001</v>
      </c>
      <c r="J81" t="inlineStr">
        <is>
          <t>EXECUTED</t>
        </is>
      </c>
      <c r="K81" t="n">
        <v>0</v>
      </c>
      <c r="L81" t="n">
        <v>-11.99</v>
      </c>
      <c r="M81">
        <f>HYPERLINK("../../data/JAN13_DYNAMIC/JAN07/OTM/NIFTY2611326200CE_strategy.html", "View")</f>
        <v/>
      </c>
      <c r="N81" t="inlineStr"/>
      <c r="O81" t="inlineStr"/>
      <c r="P81" t="inlineStr">
        <is>
          <t>NEUTRAL</t>
        </is>
      </c>
      <c r="Q81" t="inlineStr">
        <is>
          <t>INCLUDED</t>
        </is>
      </c>
      <c r="R81" t="n">
        <v>-8</v>
      </c>
      <c r="S81" t="inlineStr">
        <is>
          <t>Fixed Stop Loss</t>
        </is>
      </c>
      <c r="T81" t="n">
        <v>0.4296</v>
      </c>
      <c r="U81" t="inlineStr"/>
      <c r="V81" t="inlineStr">
        <is>
          <t>2026-01-07</t>
        </is>
      </c>
      <c r="W81" t="inlineStr">
        <is>
          <t>Between R1 and S1</t>
        </is>
      </c>
      <c r="X81" t="n">
        <v>26148.31</v>
      </c>
      <c r="Y81" t="n">
        <v>26260.18</v>
      </c>
      <c r="Z81" t="n">
        <v>26110.98</v>
      </c>
      <c r="AA81" t="n">
        <v>26341.67</v>
      </c>
      <c r="AB81" t="n">
        <v>26043.27</v>
      </c>
      <c r="AC81" t="n">
        <v>26409.38</v>
      </c>
      <c r="AD81" t="n">
        <v>25961.78</v>
      </c>
    </row>
    <row r="82">
      <c r="A82">
        <f>HYPERLINK("../../data/JAN13_DYNAMIC/JAN07/OTM/NIFTY2611326150PE_strategy.csv", "NIFTY2611326150PE")</f>
        <v/>
      </c>
      <c r="B82" t="inlineStr">
        <is>
          <t>PE</t>
        </is>
      </c>
      <c r="C82" t="inlineStr">
        <is>
          <t>11:12:01</t>
        </is>
      </c>
      <c r="D82" t="inlineStr">
        <is>
          <t>11:34:00</t>
        </is>
      </c>
      <c r="E82" t="n">
        <v>84.34999999999999</v>
      </c>
      <c r="F82" t="n">
        <v>82.25</v>
      </c>
      <c r="G82" t="n">
        <v>92104.42999999999</v>
      </c>
      <c r="H82" t="n">
        <v>106328.2</v>
      </c>
      <c r="I82" t="n">
        <v>74429.74000000001</v>
      </c>
      <c r="J82" t="inlineStr">
        <is>
          <t>EXECUTED</t>
        </is>
      </c>
      <c r="K82" t="n">
        <v>10.25</v>
      </c>
      <c r="L82" t="n">
        <v>-10.31</v>
      </c>
      <c r="M82">
        <f>HYPERLINK("../../data/JAN13_DYNAMIC/JAN07/OTM/NIFTY2611326150PE_strategy.html", "View")</f>
        <v/>
      </c>
      <c r="N82" t="inlineStr"/>
      <c r="O82" t="inlineStr"/>
      <c r="P82" t="inlineStr">
        <is>
          <t>NEUTRAL</t>
        </is>
      </c>
      <c r="Q82" t="inlineStr">
        <is>
          <t>INCLUDED</t>
        </is>
      </c>
      <c r="R82" t="n">
        <v>-2.49</v>
      </c>
      <c r="S82" t="inlineStr">
        <is>
          <t>Dynamic Trailing MA (Fast/Slow MA)</t>
        </is>
      </c>
      <c r="T82" t="n">
        <v>0.5702</v>
      </c>
      <c r="U82" t="n">
        <v>0.7167</v>
      </c>
      <c r="V82" t="inlineStr">
        <is>
          <t>2026-01-07</t>
        </is>
      </c>
      <c r="W82" t="inlineStr">
        <is>
          <t>Between R1 and S1</t>
        </is>
      </c>
      <c r="X82" t="n">
        <v>26154.25</v>
      </c>
      <c r="Y82" t="n">
        <v>26260.18</v>
      </c>
      <c r="Z82" t="n">
        <v>26110.98</v>
      </c>
      <c r="AA82" t="n">
        <v>26341.67</v>
      </c>
      <c r="AB82" t="n">
        <v>26043.27</v>
      </c>
      <c r="AC82" t="n">
        <v>26409.38</v>
      </c>
      <c r="AD82" t="n">
        <v>25961.78</v>
      </c>
    </row>
    <row r="83">
      <c r="A83">
        <f>HYPERLINK("../../data/JAN13_DYNAMIC/JAN07/OTM/NIFTY2611326150CE_strategy.csv", "NIFTY2611326150CE")</f>
        <v/>
      </c>
      <c r="B83" t="inlineStr">
        <is>
          <t>CE</t>
        </is>
      </c>
      <c r="C83" t="inlineStr">
        <is>
          <t>10:51:01</t>
        </is>
      </c>
      <c r="D83" t="inlineStr">
        <is>
          <t>11:11:00</t>
        </is>
      </c>
      <c r="E83" t="n">
        <v>115.1</v>
      </c>
      <c r="F83" t="n">
        <v>122.91</v>
      </c>
      <c r="G83" t="n">
        <v>102670</v>
      </c>
      <c r="H83" t="n">
        <v>106328.2</v>
      </c>
      <c r="I83" t="n">
        <v>74429.74000000001</v>
      </c>
      <c r="J83" t="inlineStr">
        <is>
          <t>EXECUTED</t>
        </is>
      </c>
      <c r="K83" t="n">
        <v>21.72</v>
      </c>
      <c r="L83" t="n">
        <v>-8.56</v>
      </c>
      <c r="M83">
        <f>HYPERLINK("../../data/JAN13_DYNAMIC/JAN07/OTM/NIFTY2611326150CE_strategy.html", "View")</f>
        <v/>
      </c>
      <c r="N83" t="inlineStr"/>
      <c r="O83" t="inlineStr"/>
      <c r="P83" t="inlineStr">
        <is>
          <t>NEUTRAL</t>
        </is>
      </c>
      <c r="Q83" t="inlineStr">
        <is>
          <t>INCLUDED</t>
        </is>
      </c>
      <c r="R83" t="n">
        <v>6.79</v>
      </c>
      <c r="S83" t="inlineStr">
        <is>
          <t>SuperTrend Stop Loss Exit</t>
        </is>
      </c>
      <c r="T83" t="n">
        <v>0.579</v>
      </c>
      <c r="U83" t="n">
        <v>0.648</v>
      </c>
      <c r="V83" t="inlineStr">
        <is>
          <t>2026-01-07</t>
        </is>
      </c>
      <c r="W83" t="inlineStr">
        <is>
          <t>Between R1 and S1</t>
        </is>
      </c>
      <c r="X83" t="n">
        <v>26145.96</v>
      </c>
      <c r="Y83" t="n">
        <v>26260.18</v>
      </c>
      <c r="Z83" t="n">
        <v>26110.98</v>
      </c>
      <c r="AA83" t="n">
        <v>26341.67</v>
      </c>
      <c r="AB83" t="n">
        <v>26043.27</v>
      </c>
      <c r="AC83" t="n">
        <v>26409.38</v>
      </c>
      <c r="AD83" t="n">
        <v>25961.78</v>
      </c>
    </row>
    <row r="84">
      <c r="A84">
        <f>HYPERLINK("../../data/JAN13_DYNAMIC/JAN07/OTM/NIFTY2611326100PE_strategy.csv", "NIFTY2611326100PE")</f>
        <v/>
      </c>
      <c r="B84" t="inlineStr">
        <is>
          <t>PE</t>
        </is>
      </c>
      <c r="C84" t="inlineStr">
        <is>
          <t>10:28:01</t>
        </is>
      </c>
      <c r="D84" t="inlineStr">
        <is>
          <t>10:52:00</t>
        </is>
      </c>
      <c r="E84" t="n">
        <v>73</v>
      </c>
      <c r="F84" t="n">
        <v>66.01000000000001</v>
      </c>
      <c r="G84" t="n">
        <v>96141.96000000001</v>
      </c>
      <c r="H84" t="n">
        <v>106328.2</v>
      </c>
      <c r="I84" t="n">
        <v>74429.74000000001</v>
      </c>
      <c r="J84" t="inlineStr">
        <is>
          <t>EXECUTED</t>
        </is>
      </c>
      <c r="K84" t="n">
        <v>5.75</v>
      </c>
      <c r="L84" t="n">
        <v>-8.01</v>
      </c>
      <c r="M84">
        <f>HYPERLINK("../../data/JAN13_DYNAMIC/JAN07/OTM/NIFTY2611326100PE_strategy.html", "View")</f>
        <v/>
      </c>
      <c r="N84" t="inlineStr"/>
      <c r="O84" t="inlineStr"/>
      <c r="P84" t="inlineStr">
        <is>
          <t>BEARISH</t>
        </is>
      </c>
      <c r="Q84" t="inlineStr">
        <is>
          <t>INCLUDED (HYBRID_v5_BEARISH_PE)</t>
        </is>
      </c>
      <c r="R84" t="n">
        <v>-9.58</v>
      </c>
      <c r="S84" t="inlineStr">
        <is>
          <t>SuperTrend Stop Loss Exit</t>
        </is>
      </c>
      <c r="T84" t="n">
        <v>0.7216</v>
      </c>
      <c r="U84" t="inlineStr"/>
      <c r="V84" t="inlineStr">
        <is>
          <t>2026-01-07</t>
        </is>
      </c>
      <c r="W84" t="inlineStr">
        <is>
          <t>Between R1 and S1</t>
        </is>
      </c>
      <c r="X84" t="n">
        <v>26137.99</v>
      </c>
      <c r="Y84" t="n">
        <v>26260.18</v>
      </c>
      <c r="Z84" t="n">
        <v>26110.98</v>
      </c>
      <c r="AA84" t="n">
        <v>26341.67</v>
      </c>
      <c r="AB84" t="n">
        <v>26043.27</v>
      </c>
      <c r="AC84" t="n">
        <v>26409.38</v>
      </c>
      <c r="AD84" t="n">
        <v>25961.78</v>
      </c>
    </row>
    <row r="85">
      <c r="A85">
        <f>HYPERLINK("../../data/JAN13_DYNAMIC/JAN07/OTM/NIFTY2611326150CE_strategy.csv", "NIFTY2611326150CE")</f>
        <v/>
      </c>
      <c r="B85" t="inlineStr">
        <is>
          <t>CE</t>
        </is>
      </c>
      <c r="C85" t="inlineStr">
        <is>
          <t>09:58:01</t>
        </is>
      </c>
      <c r="D85" t="inlineStr">
        <is>
          <t>10:19:00</t>
        </is>
      </c>
      <c r="E85" t="n">
        <v>108</v>
      </c>
      <c r="F85" t="n">
        <v>122.82</v>
      </c>
      <c r="G85" t="n">
        <v>106328.2</v>
      </c>
      <c r="H85" t="n">
        <v>106328.2</v>
      </c>
      <c r="I85" t="n">
        <v>74429.74000000001</v>
      </c>
      <c r="J85" t="inlineStr">
        <is>
          <t>EXECUTED</t>
        </is>
      </c>
      <c r="K85" t="n">
        <v>34.68</v>
      </c>
      <c r="L85" t="n">
        <v>-11.71</v>
      </c>
      <c r="M85">
        <f>HYPERLINK("../../data/JAN13_DYNAMIC/JAN07/OTM/NIFTY2611326150CE_strategy.html", "View")</f>
        <v/>
      </c>
      <c r="N85" t="inlineStr"/>
      <c r="O85" t="inlineStr"/>
      <c r="P85" t="inlineStr">
        <is>
          <t>BULLISH</t>
        </is>
      </c>
      <c r="Q85" t="inlineStr">
        <is>
          <t>INCLUDED (HYBRID_v5_BULLISH_CE)</t>
        </is>
      </c>
      <c r="R85" t="n">
        <v>13.72</v>
      </c>
      <c r="S85" t="inlineStr">
        <is>
          <t>SuperTrend Stop Loss Exit</t>
        </is>
      </c>
      <c r="T85" t="n">
        <v>0.7488</v>
      </c>
      <c r="U85" t="n">
        <v>0.7756</v>
      </c>
      <c r="V85" t="inlineStr">
        <is>
          <t>2026-01-07</t>
        </is>
      </c>
      <c r="W85" t="inlineStr">
        <is>
          <t>Between R1 and S1</t>
        </is>
      </c>
      <c r="X85" t="n">
        <v>26131.34</v>
      </c>
      <c r="Y85" t="n">
        <v>26260.18</v>
      </c>
      <c r="Z85" t="n">
        <v>26110.98</v>
      </c>
      <c r="AA85" t="n">
        <v>26341.67</v>
      </c>
      <c r="AB85" t="n">
        <v>26043.27</v>
      </c>
      <c r="AC85" t="n">
        <v>26409.38</v>
      </c>
      <c r="AD85" t="n">
        <v>25961.78</v>
      </c>
    </row>
    <row r="86">
      <c r="A86">
        <f>HYPERLINK("../../data/JAN13_DYNAMIC/JAN07/OTM/NIFTY2611326150CE_strategy.csv", "NIFTY2611326150CE")</f>
        <v/>
      </c>
      <c r="B86" t="inlineStr">
        <is>
          <t>CE</t>
        </is>
      </c>
      <c r="C86" t="inlineStr">
        <is>
          <t>09:22:01</t>
        </is>
      </c>
      <c r="D86" t="inlineStr">
        <is>
          <t>09:26:00</t>
        </is>
      </c>
      <c r="E86" t="n">
        <v>120.05</v>
      </c>
      <c r="F86" t="n">
        <v>112.25</v>
      </c>
      <c r="G86" t="n">
        <v>93500</v>
      </c>
      <c r="H86" t="n">
        <v>100000</v>
      </c>
      <c r="I86" t="n">
        <v>70000</v>
      </c>
      <c r="J86" t="inlineStr">
        <is>
          <t>EXECUTED</t>
        </is>
      </c>
      <c r="K86" t="n">
        <v>3.92</v>
      </c>
      <c r="L86" t="n">
        <v>-16.2</v>
      </c>
      <c r="M86">
        <f>HYPERLINK("../../data/JAN13_DYNAMIC/JAN07/OTM/NIFTY2611326150CE_strategy.html", "View")</f>
        <v/>
      </c>
      <c r="N86" t="inlineStr"/>
      <c r="O86" t="inlineStr"/>
      <c r="P86" t="inlineStr">
        <is>
          <t>NEUTRAL</t>
        </is>
      </c>
      <c r="Q86" t="inlineStr">
        <is>
          <t>INCLUDED</t>
        </is>
      </c>
      <c r="R86" t="n">
        <v>-6.5</v>
      </c>
      <c r="S86" t="inlineStr">
        <is>
          <t>Fixed SL Exit</t>
        </is>
      </c>
      <c r="T86" t="n">
        <v>0.3059</v>
      </c>
      <c r="U86" t="inlineStr"/>
      <c r="V86" t="inlineStr">
        <is>
          <t>2026-01-07</t>
        </is>
      </c>
      <c r="W86" t="inlineStr">
        <is>
          <t>Between R1 and S1</t>
        </is>
      </c>
      <c r="X86" t="n">
        <v>26150.88</v>
      </c>
      <c r="Y86" t="n">
        <v>26260.18</v>
      </c>
      <c r="Z86" t="n">
        <v>26110.98</v>
      </c>
      <c r="AA86" t="n">
        <v>26341.67</v>
      </c>
      <c r="AB86" t="n">
        <v>26043.27</v>
      </c>
      <c r="AC86" t="n">
        <v>26409.38</v>
      </c>
      <c r="AD86" t="n">
        <v>25961.78</v>
      </c>
    </row>
    <row r="87">
      <c r="A87">
        <f>HYPERLINK("../../data/JAN13_DYNAMIC/JAN08/OTM/NIFTY2611326100CE_strategy.csv", "NIFTY2611326100CE")</f>
        <v/>
      </c>
      <c r="B87" t="inlineStr">
        <is>
          <t>CE</t>
        </is>
      </c>
      <c r="C87" t="inlineStr">
        <is>
          <t>09:39:01</t>
        </is>
      </c>
      <c r="D87" t="inlineStr">
        <is>
          <t>10:04:00</t>
        </is>
      </c>
      <c r="E87" t="n">
        <v>91.75</v>
      </c>
      <c r="F87" t="n">
        <v>81.78</v>
      </c>
      <c r="G87" t="n">
        <v>89130</v>
      </c>
      <c r="H87" t="n">
        <v>100000</v>
      </c>
      <c r="I87" t="n">
        <v>70000</v>
      </c>
      <c r="J87" t="inlineStr">
        <is>
          <t>EXECUTED</t>
        </is>
      </c>
      <c r="K87" t="n">
        <v>10.03</v>
      </c>
      <c r="L87" t="n">
        <v>-13.57</v>
      </c>
      <c r="M87">
        <f>HYPERLINK("../../data/JAN13_DYNAMIC/JAN08/OTM/NIFTY2611326100CE_strategy.html", "View")</f>
        <v/>
      </c>
      <c r="N87" t="inlineStr"/>
      <c r="O87" t="inlineStr"/>
      <c r="P87" t="inlineStr">
        <is>
          <t>BULLISH</t>
        </is>
      </c>
      <c r="Q87" t="inlineStr">
        <is>
          <t>INCLUDED (HYBRID_v5_BULLISH_CE)</t>
        </is>
      </c>
      <c r="R87" t="n">
        <v>-10.87</v>
      </c>
      <c r="S87" t="inlineStr">
        <is>
          <t>SuperTrend Stop Loss Exit</t>
        </is>
      </c>
      <c r="T87" t="n">
        <v>0.4348</v>
      </c>
      <c r="U87" t="n">
        <v>0.6352</v>
      </c>
      <c r="V87" t="inlineStr">
        <is>
          <t>2026-01-08</t>
        </is>
      </c>
      <c r="W87" t="inlineStr">
        <is>
          <t>Between R1 and S1</t>
        </is>
      </c>
      <c r="X87" t="n">
        <v>26090.81</v>
      </c>
      <c r="Y87" t="n">
        <v>26195.97</v>
      </c>
      <c r="Z87" t="n">
        <v>26076.72</v>
      </c>
      <c r="AA87" t="n">
        <v>26251.18</v>
      </c>
      <c r="AB87" t="n">
        <v>26012.68</v>
      </c>
      <c r="AC87" t="n">
        <v>26315.22</v>
      </c>
      <c r="AD87" t="n">
        <v>25957.47</v>
      </c>
    </row>
    <row r="88">
      <c r="A88">
        <f>HYPERLINK("../../data/JAN13_DYNAMIC/JAN09/OTM/NIFTY2611325850CE_strategy.csv", "NIFTY2611325850CE")</f>
        <v/>
      </c>
      <c r="B88" t="inlineStr">
        <is>
          <t>CE</t>
        </is>
      </c>
      <c r="C88" t="inlineStr">
        <is>
          <t>11:27:01</t>
        </is>
      </c>
      <c r="D88" t="inlineStr">
        <is>
          <t>11:34:00</t>
        </is>
      </c>
      <c r="E88" t="n">
        <v>84.8</v>
      </c>
      <c r="F88" t="n">
        <v>78.02</v>
      </c>
      <c r="G88" t="n">
        <v>97032.39999999999</v>
      </c>
      <c r="H88" t="n">
        <v>105470</v>
      </c>
      <c r="I88" t="n">
        <v>73829</v>
      </c>
      <c r="J88" t="inlineStr">
        <is>
          <t>EXECUTED</t>
        </is>
      </c>
      <c r="K88" t="n">
        <v>4.36</v>
      </c>
      <c r="L88" t="n">
        <v>-8.84</v>
      </c>
      <c r="M88">
        <f>HYPERLINK("../../data/JAN13_DYNAMIC/JAN09/OTM/NIFTY2611325850CE_strategy.html", "View")</f>
        <v/>
      </c>
      <c r="N88" t="inlineStr"/>
      <c r="O88" t="inlineStr"/>
      <c r="P88" t="inlineStr">
        <is>
          <t>NEUTRAL</t>
        </is>
      </c>
      <c r="Q88" t="inlineStr">
        <is>
          <t>INCLUDED</t>
        </is>
      </c>
      <c r="R88" t="n">
        <v>-8</v>
      </c>
      <c r="S88" t="inlineStr">
        <is>
          <t>Fixed Stop Loss</t>
        </is>
      </c>
      <c r="T88" t="n">
        <v>0.2756</v>
      </c>
      <c r="U88" t="inlineStr"/>
      <c r="V88" t="inlineStr">
        <is>
          <t>2026-01-09</t>
        </is>
      </c>
      <c r="W88" t="inlineStr">
        <is>
          <t>Between R1 and S1</t>
        </is>
      </c>
      <c r="X88" t="n">
        <v>25802.64</v>
      </c>
      <c r="Y88" t="n">
        <v>26053.88</v>
      </c>
      <c r="Z88" t="n">
        <v>25779.13</v>
      </c>
      <c r="AA88" t="n">
        <v>26230.92</v>
      </c>
      <c r="AB88" t="n">
        <v>25681.42</v>
      </c>
      <c r="AC88" t="n">
        <v>26328.63</v>
      </c>
      <c r="AD88" t="n">
        <v>25504.38</v>
      </c>
    </row>
    <row r="89">
      <c r="A89">
        <f>HYPERLINK("../../data/JAN13_DYNAMIC/JAN09/OTM/NIFTY2611325850PE_strategy.csv", "NIFTY2611325850PE")</f>
        <v/>
      </c>
      <c r="B89" t="inlineStr">
        <is>
          <t>PE</t>
        </is>
      </c>
      <c r="C89" t="inlineStr">
        <is>
          <t>10:34:01</t>
        </is>
      </c>
      <c r="D89" t="inlineStr">
        <is>
          <t>10:52:00</t>
        </is>
      </c>
      <c r="E89" t="n">
        <v>67.59999999999999</v>
      </c>
      <c r="F89" t="n">
        <v>71.3</v>
      </c>
      <c r="G89" t="n">
        <v>105470</v>
      </c>
      <c r="H89" t="n">
        <v>105470</v>
      </c>
      <c r="I89" t="n">
        <v>73829</v>
      </c>
      <c r="J89" t="inlineStr">
        <is>
          <t>EXECUTED</t>
        </is>
      </c>
      <c r="K89" t="n">
        <v>14.28</v>
      </c>
      <c r="L89" t="n">
        <v>-12.57</v>
      </c>
      <c r="M89">
        <f>HYPERLINK("../../data/JAN13_DYNAMIC/JAN09/OTM/NIFTY2611325850PE_strategy.html", "View")</f>
        <v/>
      </c>
      <c r="N89" t="inlineStr"/>
      <c r="O89" t="inlineStr"/>
      <c r="P89" t="inlineStr">
        <is>
          <t>NEUTRAL</t>
        </is>
      </c>
      <c r="Q89" t="inlineStr">
        <is>
          <t>INCLUDED</t>
        </is>
      </c>
      <c r="R89" t="n">
        <v>5.47</v>
      </c>
      <c r="S89" t="inlineStr">
        <is>
          <t>Dynamic Trailing MA (Fast/Slow MA)</t>
        </is>
      </c>
      <c r="T89" t="n">
        <v>0.5244</v>
      </c>
      <c r="U89" t="n">
        <v>0.6598000000000001</v>
      </c>
      <c r="V89" t="inlineStr">
        <is>
          <t>2026-01-09</t>
        </is>
      </c>
      <c r="W89" t="inlineStr">
        <is>
          <t>Between R1 and S1</t>
        </is>
      </c>
      <c r="X89" t="n">
        <v>25857.62</v>
      </c>
      <c r="Y89" t="n">
        <v>26053.88</v>
      </c>
      <c r="Z89" t="n">
        <v>25779.13</v>
      </c>
      <c r="AA89" t="n">
        <v>26230.92</v>
      </c>
      <c r="AB89" t="n">
        <v>25681.42</v>
      </c>
      <c r="AC89" t="n">
        <v>26328.63</v>
      </c>
      <c r="AD89" t="n">
        <v>25504.38</v>
      </c>
    </row>
    <row r="90">
      <c r="A90">
        <f>HYPERLINK("../../data/JAN13_DYNAMIC/JAN12/OTM/NIFTY2611325700PE_strategy.csv", "NIFTY2611325700PE")</f>
        <v/>
      </c>
      <c r="B90" t="inlineStr">
        <is>
          <t>PE</t>
        </is>
      </c>
      <c r="C90" t="inlineStr">
        <is>
          <t>14:20:01</t>
        </is>
      </c>
      <c r="D90" t="inlineStr">
        <is>
          <t>14:21:00</t>
        </is>
      </c>
      <c r="E90" t="n">
        <v>53.85</v>
      </c>
      <c r="F90" t="n">
        <v>49.54</v>
      </c>
      <c r="G90" t="n">
        <v>124833.2</v>
      </c>
      <c r="H90" t="n">
        <v>192701.99</v>
      </c>
      <c r="I90" t="n">
        <v>134891.4</v>
      </c>
      <c r="J90" t="inlineStr">
        <is>
          <t>EXECUTED</t>
        </is>
      </c>
      <c r="K90" t="n">
        <v>0</v>
      </c>
      <c r="L90" t="n">
        <v>-11.14</v>
      </c>
      <c r="M90">
        <f>HYPERLINK("../../data/JAN13_DYNAMIC/JAN12/OTM/NIFTY2611325700PE_strategy.html", "View")</f>
        <v/>
      </c>
      <c r="N90" t="inlineStr"/>
      <c r="O90" t="inlineStr"/>
      <c r="P90" t="inlineStr">
        <is>
          <t>NEUTRAL</t>
        </is>
      </c>
      <c r="Q90" t="inlineStr">
        <is>
          <t>INCLUDED</t>
        </is>
      </c>
      <c r="R90" t="n">
        <v>-8</v>
      </c>
      <c r="S90" t="inlineStr">
        <is>
          <t>Fixed Stop Loss</t>
        </is>
      </c>
      <c r="T90" t="n">
        <v>0.4518</v>
      </c>
      <c r="U90" t="inlineStr"/>
      <c r="V90" t="inlineStr">
        <is>
          <t>2026-01-12</t>
        </is>
      </c>
      <c r="W90" t="inlineStr">
        <is>
          <t>Between R1 and S1</t>
        </is>
      </c>
      <c r="X90" t="n">
        <v>25732.59</v>
      </c>
      <c r="Y90" t="n">
        <v>25874.93</v>
      </c>
      <c r="Z90" t="n">
        <v>25557.33</v>
      </c>
      <c r="AA90" t="n">
        <v>26066.57</v>
      </c>
      <c r="AB90" t="n">
        <v>25431.37</v>
      </c>
      <c r="AC90" t="n">
        <v>26192.53</v>
      </c>
      <c r="AD90" t="n">
        <v>25239.73</v>
      </c>
    </row>
    <row r="91">
      <c r="A91">
        <f>HYPERLINK("../../data/JAN13_DYNAMIC/JAN12/OTM/NIFTY2611325700PE_strategy.csv", "NIFTY2611325700PE")</f>
        <v/>
      </c>
      <c r="B91" t="inlineStr">
        <is>
          <t>PE</t>
        </is>
      </c>
      <c r="C91" t="inlineStr">
        <is>
          <t>14:15:01</t>
        </is>
      </c>
      <c r="D91" t="inlineStr">
        <is>
          <t>14:16:00</t>
        </is>
      </c>
      <c r="E91" t="n">
        <v>54.5</v>
      </c>
      <c r="F91" t="n">
        <v>50.14</v>
      </c>
      <c r="G91" t="n">
        <v>135688.26</v>
      </c>
      <c r="H91" t="n">
        <v>192701.99</v>
      </c>
      <c r="I91" t="n">
        <v>134891.4</v>
      </c>
      <c r="J91" t="inlineStr">
        <is>
          <t>EXECUTED</t>
        </is>
      </c>
      <c r="K91" t="n">
        <v>0.55</v>
      </c>
      <c r="L91" t="n">
        <v>-12.2</v>
      </c>
      <c r="M91">
        <f>HYPERLINK("../../data/JAN13_DYNAMIC/JAN12/OTM/NIFTY2611325700PE_strategy.html", "View")</f>
        <v/>
      </c>
      <c r="N91" t="inlineStr"/>
      <c r="O91" t="inlineStr"/>
      <c r="P91" t="inlineStr">
        <is>
          <t>NEUTRAL</t>
        </is>
      </c>
      <c r="Q91" t="inlineStr">
        <is>
          <t>INCLUDED</t>
        </is>
      </c>
      <c r="R91" t="n">
        <v>-8</v>
      </c>
      <c r="S91" t="inlineStr">
        <is>
          <t>Fixed Stop Loss</t>
        </is>
      </c>
      <c r="T91" t="n">
        <v>0.4937</v>
      </c>
      <c r="U91" t="inlineStr"/>
      <c r="V91" t="inlineStr">
        <is>
          <t>2026-01-12</t>
        </is>
      </c>
      <c r="W91" t="inlineStr">
        <is>
          <t>Between R1 and S1</t>
        </is>
      </c>
      <c r="X91" t="n">
        <v>25729.38</v>
      </c>
      <c r="Y91" t="n">
        <v>25874.93</v>
      </c>
      <c r="Z91" t="n">
        <v>25557.33</v>
      </c>
      <c r="AA91" t="n">
        <v>26066.57</v>
      </c>
      <c r="AB91" t="n">
        <v>25431.37</v>
      </c>
      <c r="AC91" t="n">
        <v>26192.53</v>
      </c>
      <c r="AD91" t="n">
        <v>25239.73</v>
      </c>
    </row>
    <row r="92">
      <c r="A92">
        <f>HYPERLINK("../../data/JAN13_DYNAMIC/JAN12/OTM/NIFTY2611325750CE_strategy.csv", "NIFTY2611325750CE")</f>
        <v/>
      </c>
      <c r="B92" t="inlineStr">
        <is>
          <t>CE</t>
        </is>
      </c>
      <c r="C92" t="inlineStr">
        <is>
          <t>14:09:01</t>
        </is>
      </c>
      <c r="D92" t="inlineStr">
        <is>
          <t>14:14:00</t>
        </is>
      </c>
      <c r="E92" t="n">
        <v>75.05</v>
      </c>
      <c r="F92" t="n">
        <v>69.05</v>
      </c>
      <c r="G92" t="n">
        <v>147487.24</v>
      </c>
      <c r="H92" t="n">
        <v>192701.99</v>
      </c>
      <c r="I92" t="n">
        <v>134891.4</v>
      </c>
      <c r="J92" t="inlineStr">
        <is>
          <t>EXECUTED</t>
        </is>
      </c>
      <c r="K92" t="n">
        <v>6.86</v>
      </c>
      <c r="L92" t="n">
        <v>-13.46</v>
      </c>
      <c r="M92">
        <f>HYPERLINK("../../data/JAN13_DYNAMIC/JAN12/OTM/NIFTY2611325750CE_strategy.html", "View")</f>
        <v/>
      </c>
      <c r="N92" t="inlineStr"/>
      <c r="O92" t="inlineStr"/>
      <c r="P92" t="inlineStr">
        <is>
          <t>NEUTRAL</t>
        </is>
      </c>
      <c r="Q92" t="inlineStr">
        <is>
          <t>INCLUDED</t>
        </is>
      </c>
      <c r="R92" t="n">
        <v>-7.99</v>
      </c>
      <c r="S92" t="inlineStr">
        <is>
          <t>Fixed Stop Loss</t>
        </is>
      </c>
      <c r="T92" t="n">
        <v>0.4073</v>
      </c>
      <c r="U92" t="inlineStr"/>
      <c r="V92" t="inlineStr">
        <is>
          <t>2026-01-12</t>
        </is>
      </c>
      <c r="W92" t="inlineStr">
        <is>
          <t>Between R1 and S1</t>
        </is>
      </c>
      <c r="X92" t="n">
        <v>25739.56</v>
      </c>
      <c r="Y92" t="n">
        <v>25874.93</v>
      </c>
      <c r="Z92" t="n">
        <v>25557.33</v>
      </c>
      <c r="AA92" t="n">
        <v>26066.57</v>
      </c>
      <c r="AB92" t="n">
        <v>25431.37</v>
      </c>
      <c r="AC92" t="n">
        <v>26192.53</v>
      </c>
      <c r="AD92" t="n">
        <v>25239.73</v>
      </c>
    </row>
    <row r="93">
      <c r="A93">
        <f>HYPERLINK("../../data/JAN13_DYNAMIC/JAN12/OTM/NIFTY2611325700CE_strategy.csv", "NIFTY2611325700CE")</f>
        <v/>
      </c>
      <c r="B93" t="inlineStr">
        <is>
          <t>CE</t>
        </is>
      </c>
      <c r="C93" t="inlineStr">
        <is>
          <t>13:32:01</t>
        </is>
      </c>
      <c r="D93" t="inlineStr">
        <is>
          <t>13:57:00</t>
        </is>
      </c>
      <c r="E93" t="n">
        <v>97.05</v>
      </c>
      <c r="F93" t="n">
        <v>103.75</v>
      </c>
      <c r="G93" t="n">
        <v>160294.8</v>
      </c>
      <c r="H93" t="n">
        <v>192701.99</v>
      </c>
      <c r="I93" t="n">
        <v>134891.4</v>
      </c>
      <c r="J93" t="inlineStr">
        <is>
          <t>EXECUTED</t>
        </is>
      </c>
      <c r="K93" t="n">
        <v>27.41</v>
      </c>
      <c r="L93" t="n">
        <v>-20.4</v>
      </c>
      <c r="M93">
        <f>HYPERLINK("../../data/JAN13_DYNAMIC/JAN12/OTM/NIFTY2611325700CE_strategy.html", "View")</f>
        <v/>
      </c>
      <c r="N93" t="inlineStr"/>
      <c r="O93" t="inlineStr"/>
      <c r="P93" t="inlineStr">
        <is>
          <t>NEUTRAL</t>
        </is>
      </c>
      <c r="Q93" t="inlineStr">
        <is>
          <t>INCLUDED</t>
        </is>
      </c>
      <c r="R93" t="n">
        <v>6.9</v>
      </c>
      <c r="S93" t="inlineStr">
        <is>
          <t>Dynamic Trailing MA (Fast/Slow MA)</t>
        </is>
      </c>
      <c r="T93" t="n">
        <v>0.501</v>
      </c>
      <c r="U93" t="n">
        <v>0.5541</v>
      </c>
      <c r="V93" t="inlineStr">
        <is>
          <t>2026-01-12</t>
        </is>
      </c>
      <c r="W93" t="inlineStr">
        <is>
          <t>Between R1 and S1</t>
        </is>
      </c>
      <c r="X93" t="n">
        <v>25725.88</v>
      </c>
      <c r="Y93" t="n">
        <v>25874.93</v>
      </c>
      <c r="Z93" t="n">
        <v>25557.33</v>
      </c>
      <c r="AA93" t="n">
        <v>26066.57</v>
      </c>
      <c r="AB93" t="n">
        <v>25431.37</v>
      </c>
      <c r="AC93" t="n">
        <v>26192.53</v>
      </c>
      <c r="AD93" t="n">
        <v>25239.73</v>
      </c>
    </row>
    <row r="94">
      <c r="A94">
        <f>HYPERLINK("../../data/JAN13_DYNAMIC/JAN12/OTM/NIFTY2611325700PE_strategy.csv", "NIFTY2611325700PE")</f>
        <v/>
      </c>
      <c r="B94" t="inlineStr">
        <is>
          <t>PE</t>
        </is>
      </c>
      <c r="C94" t="inlineStr">
        <is>
          <t>13:20:01</t>
        </is>
      </c>
      <c r="D94" t="inlineStr">
        <is>
          <t>13:30:00</t>
        </is>
      </c>
      <c r="E94" t="n">
        <v>74.65000000000001</v>
      </c>
      <c r="F94" t="n">
        <v>68.68000000000001</v>
      </c>
      <c r="G94" t="n">
        <v>149948.36</v>
      </c>
      <c r="H94" t="n">
        <v>192701.99</v>
      </c>
      <c r="I94" t="n">
        <v>134891.4</v>
      </c>
      <c r="J94" t="inlineStr">
        <is>
          <t>EXECUTED</t>
        </is>
      </c>
      <c r="K94" t="n">
        <v>6.97</v>
      </c>
      <c r="L94" t="n">
        <v>-16.48</v>
      </c>
      <c r="M94">
        <f>HYPERLINK("../../data/JAN13_DYNAMIC/JAN12/OTM/NIFTY2611325700PE_strategy.html", "View")</f>
        <v/>
      </c>
      <c r="N94" t="inlineStr"/>
      <c r="O94" t="inlineStr"/>
      <c r="P94" t="inlineStr">
        <is>
          <t>BEARISH</t>
        </is>
      </c>
      <c r="Q94" t="inlineStr">
        <is>
          <t>INCLUDED (HYBRID_v5_BEARISH_PE)</t>
        </is>
      </c>
      <c r="R94" t="n">
        <v>-8</v>
      </c>
      <c r="S94" t="inlineStr">
        <is>
          <t>Fixed Stop Loss</t>
        </is>
      </c>
      <c r="T94" t="n">
        <v>0.5266999999999999</v>
      </c>
      <c r="U94" t="inlineStr"/>
      <c r="V94" t="inlineStr">
        <is>
          <t>2026-01-12</t>
        </is>
      </c>
      <c r="W94" t="inlineStr">
        <is>
          <t>Between R1 and S1</t>
        </is>
      </c>
      <c r="X94" t="n">
        <v>25701.44</v>
      </c>
      <c r="Y94" t="n">
        <v>25874.93</v>
      </c>
      <c r="Z94" t="n">
        <v>25557.33</v>
      </c>
      <c r="AA94" t="n">
        <v>26066.57</v>
      </c>
      <c r="AB94" t="n">
        <v>25431.37</v>
      </c>
      <c r="AC94" t="n">
        <v>26192.53</v>
      </c>
      <c r="AD94" t="n">
        <v>25239.73</v>
      </c>
    </row>
    <row r="95">
      <c r="A95">
        <f>HYPERLINK("../../data/JAN13_DYNAMIC/JAN12/OTM/NIFTY2611325700PE_strategy.csv", "NIFTY2611325700PE")</f>
        <v/>
      </c>
      <c r="B95" t="inlineStr">
        <is>
          <t>PE</t>
        </is>
      </c>
      <c r="C95" t="inlineStr">
        <is>
          <t>13:01:01</t>
        </is>
      </c>
      <c r="D95" t="inlineStr">
        <is>
          <t>13:12:00</t>
        </is>
      </c>
      <c r="E95" t="n">
        <v>80.75</v>
      </c>
      <c r="F95" t="n">
        <v>68.3</v>
      </c>
      <c r="G95" t="n">
        <v>162987.35</v>
      </c>
      <c r="H95" t="n">
        <v>192701.99</v>
      </c>
      <c r="I95" t="n">
        <v>134891.4</v>
      </c>
      <c r="J95" t="inlineStr">
        <is>
          <t>EXECUTED</t>
        </is>
      </c>
      <c r="K95" t="n">
        <v>13.75</v>
      </c>
      <c r="L95" t="n">
        <v>-16.53</v>
      </c>
      <c r="M95">
        <f>HYPERLINK("../../data/JAN13_DYNAMIC/JAN12/OTM/NIFTY2611325700PE_strategy.html", "View")</f>
        <v/>
      </c>
      <c r="N95" t="inlineStr"/>
      <c r="O95" t="inlineStr"/>
      <c r="P95" t="inlineStr">
        <is>
          <t>BEARISH</t>
        </is>
      </c>
      <c r="Q95" t="inlineStr">
        <is>
          <t>INCLUDED (HYBRID_v5_BEARISH_PE)</t>
        </is>
      </c>
      <c r="R95" t="n">
        <v>-15.42</v>
      </c>
      <c r="S95" t="inlineStr">
        <is>
          <t>Dynamic Trailing MA (Fast/Slow MA)</t>
        </is>
      </c>
      <c r="T95" t="n">
        <v>0.6738</v>
      </c>
      <c r="U95" t="n">
        <v>0.7393999999999999</v>
      </c>
      <c r="V95" t="inlineStr">
        <is>
          <t>2026-01-12</t>
        </is>
      </c>
      <c r="W95" t="inlineStr">
        <is>
          <t>Between R1 and S1</t>
        </is>
      </c>
      <c r="X95" t="n">
        <v>25692.95</v>
      </c>
      <c r="Y95" t="n">
        <v>25874.93</v>
      </c>
      <c r="Z95" t="n">
        <v>25557.33</v>
      </c>
      <c r="AA95" t="n">
        <v>26066.57</v>
      </c>
      <c r="AB95" t="n">
        <v>25431.37</v>
      </c>
      <c r="AC95" t="n">
        <v>26192.53</v>
      </c>
      <c r="AD95" t="n">
        <v>25239.73</v>
      </c>
    </row>
    <row r="96">
      <c r="A96">
        <f>HYPERLINK("../../data/JAN13_DYNAMIC/JAN12/OTM/NIFTY2611325600CE_strategy.csv", "NIFTY2611325600CE")</f>
        <v/>
      </c>
      <c r="B96" t="inlineStr">
        <is>
          <t>CE</t>
        </is>
      </c>
      <c r="C96" t="inlineStr">
        <is>
          <t>10:22:01</t>
        </is>
      </c>
      <c r="D96" t="inlineStr">
        <is>
          <t>10:32:00</t>
        </is>
      </c>
      <c r="E96" t="n">
        <v>79.40000000000001</v>
      </c>
      <c r="F96" t="n">
        <v>73.05</v>
      </c>
      <c r="G96" t="n">
        <v>71647.08</v>
      </c>
      <c r="H96" t="n">
        <v>100000</v>
      </c>
      <c r="I96" t="n">
        <v>70000</v>
      </c>
      <c r="J96" t="inlineStr">
        <is>
          <t>EXECUTED</t>
        </is>
      </c>
      <c r="K96" t="n">
        <v>9.07</v>
      </c>
      <c r="L96" t="n">
        <v>-15.43</v>
      </c>
      <c r="M96">
        <f>HYPERLINK("../../data/JAN13_DYNAMIC/JAN12/OTM/NIFTY2611325600CE_strategy.html", "View")</f>
        <v/>
      </c>
      <c r="N96" t="inlineStr"/>
      <c r="O96" t="inlineStr"/>
      <c r="P96" t="inlineStr">
        <is>
          <t>NEUTRAL</t>
        </is>
      </c>
      <c r="Q96" t="inlineStr">
        <is>
          <t>INCLUDED</t>
        </is>
      </c>
      <c r="R96" t="n">
        <v>-8</v>
      </c>
      <c r="S96" t="inlineStr">
        <is>
          <t>Fixed Stop Loss</t>
        </is>
      </c>
      <c r="T96" t="n">
        <v>0.4669</v>
      </c>
      <c r="U96" t="n">
        <v>0.5877</v>
      </c>
      <c r="V96" t="inlineStr">
        <is>
          <t>2026-01-12</t>
        </is>
      </c>
      <c r="W96" t="inlineStr">
        <is>
          <t>Between R1 and S1</t>
        </is>
      </c>
      <c r="X96" t="n">
        <v>25584.09</v>
      </c>
      <c r="Y96" t="n">
        <v>25874.93</v>
      </c>
      <c r="Z96" t="n">
        <v>25557.33</v>
      </c>
      <c r="AA96" t="n">
        <v>26066.57</v>
      </c>
      <c r="AB96" t="n">
        <v>25431.37</v>
      </c>
      <c r="AC96" t="n">
        <v>26192.53</v>
      </c>
      <c r="AD96" t="n">
        <v>25239.73</v>
      </c>
    </row>
    <row r="97">
      <c r="A97">
        <f>HYPERLINK("../../data/JAN13_DYNAMIC/JAN12/OTM/NIFTY2611325550PE_strategy.csv", "NIFTY2611325550PE")</f>
        <v/>
      </c>
      <c r="B97" t="inlineStr">
        <is>
          <t>PE</t>
        </is>
      </c>
      <c r="C97" t="inlineStr">
        <is>
          <t>10:11:01</t>
        </is>
      </c>
      <c r="D97" t="inlineStr">
        <is>
          <t>10:19:00</t>
        </is>
      </c>
      <c r="E97" t="n">
        <v>62.6</v>
      </c>
      <c r="F97" t="n">
        <v>57.59</v>
      </c>
      <c r="G97" t="n">
        <v>77877.25999999999</v>
      </c>
      <c r="H97" t="n">
        <v>100000</v>
      </c>
      <c r="I97" t="n">
        <v>70000</v>
      </c>
      <c r="J97" t="inlineStr">
        <is>
          <t>EXECUTED</t>
        </is>
      </c>
      <c r="K97" t="n">
        <v>14.86</v>
      </c>
      <c r="L97" t="n">
        <v>-8.31</v>
      </c>
      <c r="M97">
        <f>HYPERLINK("../../data/JAN13_DYNAMIC/JAN12/OTM/NIFTY2611325550PE_strategy.html", "View")</f>
        <v/>
      </c>
      <c r="N97" t="inlineStr"/>
      <c r="O97" t="inlineStr"/>
      <c r="P97" t="inlineStr">
        <is>
          <t>NEUTRAL</t>
        </is>
      </c>
      <c r="Q97" t="inlineStr">
        <is>
          <t>INCLUDED</t>
        </is>
      </c>
      <c r="R97" t="n">
        <v>-8</v>
      </c>
      <c r="S97" t="inlineStr">
        <is>
          <t>Fixed Stop Loss</t>
        </is>
      </c>
      <c r="T97" t="n">
        <v>0.4801</v>
      </c>
      <c r="U97" t="n">
        <v>0.4988</v>
      </c>
      <c r="V97" t="inlineStr">
        <is>
          <t>2026-01-12</t>
        </is>
      </c>
      <c r="W97" t="inlineStr">
        <is>
          <t>Between R1 and S1</t>
        </is>
      </c>
      <c r="X97" t="n">
        <v>25569.96</v>
      </c>
      <c r="Y97" t="n">
        <v>25874.93</v>
      </c>
      <c r="Z97" t="n">
        <v>25557.33</v>
      </c>
      <c r="AA97" t="n">
        <v>26066.57</v>
      </c>
      <c r="AB97" t="n">
        <v>25431.37</v>
      </c>
      <c r="AC97" t="n">
        <v>26192.53</v>
      </c>
      <c r="AD97" t="n">
        <v>25239.73</v>
      </c>
    </row>
    <row r="98">
      <c r="A98">
        <f>HYPERLINK("../../data/JAN13_DYNAMIC/JAN12/OTM/NIFTY2611325600CE_strategy.csv", "NIFTY2611325600CE")</f>
        <v/>
      </c>
      <c r="B98" t="inlineStr">
        <is>
          <t>CE</t>
        </is>
      </c>
      <c r="C98" t="inlineStr">
        <is>
          <t>10:02:01</t>
        </is>
      </c>
      <c r="D98" t="inlineStr">
        <is>
          <t>10:14:00</t>
        </is>
      </c>
      <c r="E98" t="n">
        <v>75.55</v>
      </c>
      <c r="F98" t="n">
        <v>69.51000000000001</v>
      </c>
      <c r="G98" t="n">
        <v>84649.2</v>
      </c>
      <c r="H98" t="n">
        <v>100000</v>
      </c>
      <c r="I98" t="n">
        <v>70000</v>
      </c>
      <c r="J98" t="inlineStr">
        <is>
          <t>EXECUTED</t>
        </is>
      </c>
      <c r="K98" t="n">
        <v>17.54</v>
      </c>
      <c r="L98" t="n">
        <v>-7.61</v>
      </c>
      <c r="M98">
        <f>HYPERLINK("../../data/JAN13_DYNAMIC/JAN12/OTM/NIFTY2611325600CE_strategy.html", "View")</f>
        <v/>
      </c>
      <c r="N98" t="inlineStr"/>
      <c r="O98" t="inlineStr"/>
      <c r="P98" t="inlineStr">
        <is>
          <t>NEUTRAL</t>
        </is>
      </c>
      <c r="Q98" t="inlineStr">
        <is>
          <t>INCLUDED</t>
        </is>
      </c>
      <c r="R98" t="n">
        <v>-7.99</v>
      </c>
      <c r="S98" t="inlineStr">
        <is>
          <t>Fixed Stop Loss</t>
        </is>
      </c>
      <c r="T98" t="n">
        <v>0.5155999999999999</v>
      </c>
      <c r="U98" t="n">
        <v>0.4607</v>
      </c>
      <c r="V98" t="inlineStr">
        <is>
          <t>2026-01-12</t>
        </is>
      </c>
      <c r="W98" t="inlineStr">
        <is>
          <t>Between R1 and S1</t>
        </is>
      </c>
      <c r="X98" t="n">
        <v>25567.24</v>
      </c>
      <c r="Y98" t="n">
        <v>25874.93</v>
      </c>
      <c r="Z98" t="n">
        <v>25557.33</v>
      </c>
      <c r="AA98" t="n">
        <v>26066.57</v>
      </c>
      <c r="AB98" t="n">
        <v>25431.37</v>
      </c>
      <c r="AC98" t="n">
        <v>26192.53</v>
      </c>
      <c r="AD98" t="n">
        <v>25239.73</v>
      </c>
    </row>
    <row r="99">
      <c r="A99">
        <f>HYPERLINK("../../data/JAN13_DYNAMIC/JAN12/OTM/NIFTY2611325600CE_strategy.csv", "NIFTY2611325600CE")</f>
        <v/>
      </c>
      <c r="B99" t="inlineStr">
        <is>
          <t>CE</t>
        </is>
      </c>
      <c r="C99" t="inlineStr">
        <is>
          <t>09:49:01</t>
        </is>
      </c>
      <c r="D99" t="inlineStr">
        <is>
          <t>09:58:00</t>
        </is>
      </c>
      <c r="E99" t="n">
        <v>81.3</v>
      </c>
      <c r="F99" t="n">
        <v>74.8</v>
      </c>
      <c r="G99" t="n">
        <v>92000</v>
      </c>
      <c r="H99" t="n">
        <v>100000</v>
      </c>
      <c r="I99" t="n">
        <v>70000</v>
      </c>
      <c r="J99" t="inlineStr">
        <is>
          <t>EXECUTED</t>
        </is>
      </c>
      <c r="K99" t="n">
        <v>17.28</v>
      </c>
      <c r="L99" t="n">
        <v>-18.39</v>
      </c>
      <c r="M99">
        <f>HYPERLINK("../../data/JAN13_DYNAMIC/JAN12/OTM/NIFTY2611325600CE_strategy.html", "View")</f>
        <v/>
      </c>
      <c r="N99" t="inlineStr"/>
      <c r="O99" t="inlineStr"/>
      <c r="P99" t="inlineStr">
        <is>
          <t>NEUTRAL</t>
        </is>
      </c>
      <c r="Q99" t="inlineStr">
        <is>
          <t>INCLUDED</t>
        </is>
      </c>
      <c r="R99" t="n">
        <v>-8</v>
      </c>
      <c r="S99" t="inlineStr">
        <is>
          <t>Fixed Stop Loss</t>
        </is>
      </c>
      <c r="T99" t="n">
        <v>0.5558999999999999</v>
      </c>
      <c r="U99" t="n">
        <v>0.6162</v>
      </c>
      <c r="V99" t="inlineStr">
        <is>
          <t>2026-01-12</t>
        </is>
      </c>
      <c r="W99" t="inlineStr">
        <is>
          <t>Between R1 and S1</t>
        </is>
      </c>
      <c r="X99" t="n">
        <v>25584.55</v>
      </c>
      <c r="Y99" t="n">
        <v>25874.93</v>
      </c>
      <c r="Z99" t="n">
        <v>25557.33</v>
      </c>
      <c r="AA99" t="n">
        <v>26066.57</v>
      </c>
      <c r="AB99" t="n">
        <v>25431.37</v>
      </c>
      <c r="AC99" t="n">
        <v>26192.53</v>
      </c>
      <c r="AD99" t="n">
        <v>25239.73</v>
      </c>
    </row>
    <row r="100">
      <c r="A100">
        <f>HYPERLINK("../../data/JAN20_DYNAMIC/JAN14/OTM/NIFTY2612025700CE_strategy.csv", "NIFTY2612025700CE")</f>
        <v/>
      </c>
      <c r="B100" t="inlineStr">
        <is>
          <t>CE</t>
        </is>
      </c>
      <c r="C100" t="inlineStr">
        <is>
          <t>15:06:01</t>
        </is>
      </c>
      <c r="D100" t="inlineStr">
        <is>
          <t>15:07:00</t>
        </is>
      </c>
      <c r="E100" t="n">
        <v>121.75</v>
      </c>
      <c r="F100" t="n">
        <v>113.84</v>
      </c>
      <c r="G100" t="n">
        <v>110458.49</v>
      </c>
      <c r="H100" t="n">
        <v>121656.36</v>
      </c>
      <c r="I100" t="n">
        <v>85159.45</v>
      </c>
      <c r="J100" t="inlineStr">
        <is>
          <t>EXECUTED</t>
        </is>
      </c>
      <c r="K100" t="n">
        <v>0</v>
      </c>
      <c r="L100" t="n">
        <v>-14.09</v>
      </c>
      <c r="M100">
        <f>HYPERLINK("../../data/JAN20_DYNAMIC/JAN14/OTM/NIFTY2612025700CE_strategy.html", "View")</f>
        <v/>
      </c>
      <c r="N100" t="inlineStr"/>
      <c r="O100" t="inlineStr"/>
      <c r="P100" t="inlineStr">
        <is>
          <t>BULLISH</t>
        </is>
      </c>
      <c r="Q100" t="inlineStr">
        <is>
          <t>INCLUDED (HYBRID_v5_BULLISH_CE)</t>
        </is>
      </c>
      <c r="R100" t="n">
        <v>-6.5</v>
      </c>
      <c r="S100" t="inlineStr">
        <is>
          <t>Fixed Stop Loss</t>
        </is>
      </c>
      <c r="T100" t="n">
        <v>0.3166</v>
      </c>
      <c r="U100" t="inlineStr"/>
      <c r="V100" t="inlineStr">
        <is>
          <t>2026-01-14</t>
        </is>
      </c>
      <c r="W100" t="inlineStr">
        <is>
          <t>Between R1 and S1</t>
        </is>
      </c>
      <c r="X100" t="n">
        <v>25688.43</v>
      </c>
      <c r="Y100" t="n">
        <v>25886.97</v>
      </c>
      <c r="Z100" t="n">
        <v>25590.47</v>
      </c>
      <c r="AA100" t="n">
        <v>26041.63</v>
      </c>
      <c r="AB100" t="n">
        <v>25448.63</v>
      </c>
      <c r="AC100" t="n">
        <v>26183.47</v>
      </c>
      <c r="AD100" t="n">
        <v>25293.97</v>
      </c>
    </row>
    <row r="101">
      <c r="A101">
        <f>HYPERLINK("../../data/JAN20_DYNAMIC/JAN14/OTM/NIFTY2612025650CE_strategy.csv", "NIFTY2612025650CE")</f>
        <v/>
      </c>
      <c r="B101" t="inlineStr">
        <is>
          <t>CE</t>
        </is>
      </c>
      <c r="C101" t="inlineStr">
        <is>
          <t>14:30:01</t>
        </is>
      </c>
      <c r="D101" t="inlineStr">
        <is>
          <t>15:00:00</t>
        </is>
      </c>
      <c r="E101" t="n">
        <v>122.5</v>
      </c>
      <c r="F101" t="n">
        <v>140.54</v>
      </c>
      <c r="G101" t="n">
        <v>118137.42</v>
      </c>
      <c r="H101" t="n">
        <v>121656.36</v>
      </c>
      <c r="I101" t="n">
        <v>85159.45</v>
      </c>
      <c r="J101" t="inlineStr">
        <is>
          <t>EXECUTED</t>
        </is>
      </c>
      <c r="K101" t="n">
        <v>36.65</v>
      </c>
      <c r="L101" t="n">
        <v>-7.22</v>
      </c>
      <c r="M101">
        <f>HYPERLINK("../../data/JAN20_DYNAMIC/JAN14/OTM/NIFTY2612025650CE_strategy.html", "View")</f>
        <v/>
      </c>
      <c r="N101" t="inlineStr"/>
      <c r="O101" t="inlineStr"/>
      <c r="P101" t="inlineStr">
        <is>
          <t>BULLISH</t>
        </is>
      </c>
      <c r="Q101" t="inlineStr">
        <is>
          <t>INCLUDED (HYBRID_v5_BULLISH_CE)</t>
        </is>
      </c>
      <c r="R101" t="n">
        <v>14.73</v>
      </c>
      <c r="S101" t="inlineStr">
        <is>
          <t>SuperTrend Stop Loss Exit</t>
        </is>
      </c>
      <c r="T101" t="n">
        <v>0.3172</v>
      </c>
      <c r="U101" t="n">
        <v>0.6365</v>
      </c>
      <c r="V101" t="inlineStr">
        <is>
          <t>2026-01-14</t>
        </is>
      </c>
      <c r="W101" t="inlineStr">
        <is>
          <t>Between R1 and S1</t>
        </is>
      </c>
      <c r="X101" t="n">
        <v>25625.72</v>
      </c>
      <c r="Y101" t="n">
        <v>25886.97</v>
      </c>
      <c r="Z101" t="n">
        <v>25590.47</v>
      </c>
      <c r="AA101" t="n">
        <v>26041.63</v>
      </c>
      <c r="AB101" t="n">
        <v>25448.63</v>
      </c>
      <c r="AC101" t="n">
        <v>26183.47</v>
      </c>
      <c r="AD101" t="n">
        <v>25293.97</v>
      </c>
    </row>
    <row r="102">
      <c r="A102">
        <f>HYPERLINK("../../data/JAN20_DYNAMIC/JAN14/OTM/NIFTY2612025800CE_strategy.csv", "NIFTY2612025800CE")</f>
        <v/>
      </c>
      <c r="B102" t="inlineStr">
        <is>
          <t>CE</t>
        </is>
      </c>
      <c r="C102" t="inlineStr">
        <is>
          <t>13:11:01</t>
        </is>
      </c>
      <c r="D102" t="inlineStr">
        <is>
          <t>13:18:00</t>
        </is>
      </c>
      <c r="E102" t="n">
        <v>108.1</v>
      </c>
      <c r="F102" t="n">
        <v>99.45</v>
      </c>
      <c r="G102" t="n">
        <v>102969.94</v>
      </c>
      <c r="H102" t="n">
        <v>121656.36</v>
      </c>
      <c r="I102" t="n">
        <v>85159.45</v>
      </c>
      <c r="J102" t="inlineStr">
        <is>
          <t>EXECUTED</t>
        </is>
      </c>
      <c r="K102" t="n">
        <v>0.23</v>
      </c>
      <c r="L102" t="n">
        <v>-7.31</v>
      </c>
      <c r="M102">
        <f>HYPERLINK("../../data/JAN20_DYNAMIC/JAN14/OTM/NIFTY2612025800CE_strategy.html", "View")</f>
        <v/>
      </c>
      <c r="N102" t="inlineStr"/>
      <c r="O102" t="inlineStr"/>
      <c r="P102" t="inlineStr">
        <is>
          <t>BULLISH</t>
        </is>
      </c>
      <c r="Q102" t="inlineStr">
        <is>
          <t>INCLUDED (HYBRID_v5_BULLISH_CE)</t>
        </is>
      </c>
      <c r="R102" t="n">
        <v>-8</v>
      </c>
      <c r="S102" t="inlineStr">
        <is>
          <t>Fixed Stop Loss</t>
        </is>
      </c>
      <c r="T102" t="n">
        <v>0.7305</v>
      </c>
      <c r="U102" t="inlineStr"/>
      <c r="V102" t="inlineStr">
        <is>
          <t>2026-01-14</t>
        </is>
      </c>
      <c r="W102" t="inlineStr">
        <is>
          <t>Between R1 and S1</t>
        </is>
      </c>
      <c r="X102" t="n">
        <v>25758.86</v>
      </c>
      <c r="Y102" t="n">
        <v>25886.97</v>
      </c>
      <c r="Z102" t="n">
        <v>25590.47</v>
      </c>
      <c r="AA102" t="n">
        <v>26041.63</v>
      </c>
      <c r="AB102" t="n">
        <v>25448.63</v>
      </c>
      <c r="AC102" t="n">
        <v>26183.47</v>
      </c>
      <c r="AD102" t="n">
        <v>25293.97</v>
      </c>
    </row>
    <row r="103">
      <c r="A103">
        <f>HYPERLINK("../../data/JAN20_DYNAMIC/JAN14/OTM/NIFTY2612025800CE_strategy.csv", "NIFTY2612025800CE")</f>
        <v/>
      </c>
      <c r="B103" t="inlineStr">
        <is>
          <t>CE</t>
        </is>
      </c>
      <c r="C103" t="inlineStr">
        <is>
          <t>12:20:01</t>
        </is>
      </c>
      <c r="D103" t="inlineStr">
        <is>
          <t>12:49:00</t>
        </is>
      </c>
      <c r="E103" t="n">
        <v>115.95</v>
      </c>
      <c r="F103" t="n">
        <v>106.67</v>
      </c>
      <c r="G103" t="n">
        <v>111923.85</v>
      </c>
      <c r="H103" t="n">
        <v>121656.36</v>
      </c>
      <c r="I103" t="n">
        <v>85159.45</v>
      </c>
      <c r="J103" t="inlineStr">
        <is>
          <t>EXECUTED</t>
        </is>
      </c>
      <c r="K103" t="n">
        <v>4.36</v>
      </c>
      <c r="L103" t="n">
        <v>-12.51</v>
      </c>
      <c r="M103">
        <f>HYPERLINK("../../data/JAN20_DYNAMIC/JAN14/OTM/NIFTY2612025800CE_strategy.html", "View")</f>
        <v/>
      </c>
      <c r="N103" t="inlineStr"/>
      <c r="O103" t="inlineStr"/>
      <c r="P103" t="inlineStr">
        <is>
          <t>BULLISH</t>
        </is>
      </c>
      <c r="Q103" t="inlineStr">
        <is>
          <t>INCLUDED (HYBRID_v5_BULLISH_CE)</t>
        </is>
      </c>
      <c r="R103" t="n">
        <v>-8</v>
      </c>
      <c r="S103" t="inlineStr">
        <is>
          <t>Fixed Stop Loss</t>
        </is>
      </c>
      <c r="T103" t="n">
        <v>0.4835</v>
      </c>
      <c r="U103" t="inlineStr"/>
      <c r="V103" t="inlineStr">
        <is>
          <t>2026-01-14</t>
        </is>
      </c>
      <c r="W103" t="inlineStr">
        <is>
          <t>Between R1 and S1</t>
        </is>
      </c>
      <c r="X103" t="n">
        <v>25769.14</v>
      </c>
      <c r="Y103" t="n">
        <v>25886.97</v>
      </c>
      <c r="Z103" t="n">
        <v>25590.47</v>
      </c>
      <c r="AA103" t="n">
        <v>26041.63</v>
      </c>
      <c r="AB103" t="n">
        <v>25448.63</v>
      </c>
      <c r="AC103" t="n">
        <v>26183.47</v>
      </c>
      <c r="AD103" t="n">
        <v>25293.97</v>
      </c>
    </row>
    <row r="104">
      <c r="A104">
        <f>HYPERLINK("../../data/JAN20_DYNAMIC/JAN14/OTM/NIFTY2612025700PE_strategy.csv", "NIFTY2612025700PE")</f>
        <v/>
      </c>
      <c r="B104" t="inlineStr">
        <is>
          <t>PE</t>
        </is>
      </c>
      <c r="C104" t="inlineStr">
        <is>
          <t>11:26:01</t>
        </is>
      </c>
      <c r="D104" t="inlineStr">
        <is>
          <t>11:27:00</t>
        </is>
      </c>
      <c r="E104" t="n">
        <v>104.55</v>
      </c>
      <c r="F104" t="n">
        <v>96.19</v>
      </c>
      <c r="G104" t="n">
        <v>89472.94</v>
      </c>
      <c r="H104" t="n">
        <v>105710</v>
      </c>
      <c r="I104" t="n">
        <v>73997</v>
      </c>
      <c r="J104" t="inlineStr">
        <is>
          <t>EXECUTED</t>
        </is>
      </c>
      <c r="K104" t="n">
        <v>0</v>
      </c>
      <c r="L104" t="n">
        <v>-7.41</v>
      </c>
      <c r="M104">
        <f>HYPERLINK("../../data/JAN20_DYNAMIC/JAN14/OTM/NIFTY2612025700PE_strategy.html", "View")</f>
        <v/>
      </c>
      <c r="N104" t="inlineStr"/>
      <c r="O104" t="inlineStr"/>
      <c r="P104" t="inlineStr">
        <is>
          <t>NEUTRAL</t>
        </is>
      </c>
      <c r="Q104" t="inlineStr">
        <is>
          <t>INCLUDED</t>
        </is>
      </c>
      <c r="R104" t="n">
        <v>-8</v>
      </c>
      <c r="S104" t="inlineStr">
        <is>
          <t>Fixed Stop Loss</t>
        </is>
      </c>
      <c r="T104" t="n">
        <v>0.3763</v>
      </c>
      <c r="U104" t="inlineStr"/>
      <c r="V104" t="inlineStr">
        <is>
          <t>2026-01-14</t>
        </is>
      </c>
      <c r="W104" t="inlineStr">
        <is>
          <t>Between R1 and S1</t>
        </is>
      </c>
      <c r="X104" t="n">
        <v>25743.15</v>
      </c>
      <c r="Y104" t="n">
        <v>25886.97</v>
      </c>
      <c r="Z104" t="n">
        <v>25590.47</v>
      </c>
      <c r="AA104" t="n">
        <v>26041.63</v>
      </c>
      <c r="AB104" t="n">
        <v>25448.63</v>
      </c>
      <c r="AC104" t="n">
        <v>26183.47</v>
      </c>
      <c r="AD104" t="n">
        <v>25293.97</v>
      </c>
    </row>
    <row r="105">
      <c r="A105">
        <f>HYPERLINK("../../data/JAN20_DYNAMIC/JAN14/OTM/NIFTY2612025700CE_strategy.csv", "NIFTY2612025700CE")</f>
        <v/>
      </c>
      <c r="B105" t="inlineStr">
        <is>
          <t>CE</t>
        </is>
      </c>
      <c r="C105" t="inlineStr">
        <is>
          <t>10:52:01</t>
        </is>
      </c>
      <c r="D105" t="inlineStr">
        <is>
          <t>11:53:00</t>
        </is>
      </c>
      <c r="E105" t="n">
        <v>138.05</v>
      </c>
      <c r="F105" t="n">
        <v>187.7</v>
      </c>
      <c r="G105" t="n">
        <v>121656.36</v>
      </c>
      <c r="H105" t="n">
        <v>121656.36</v>
      </c>
      <c r="I105" t="n">
        <v>85159.45</v>
      </c>
      <c r="J105" t="inlineStr">
        <is>
          <t>EXECUTED</t>
        </is>
      </c>
      <c r="K105" t="n">
        <v>41.83</v>
      </c>
      <c r="L105" t="n">
        <v>-10.32</v>
      </c>
      <c r="M105">
        <f>HYPERLINK("../../data/JAN20_DYNAMIC/JAN14/OTM/NIFTY2612025700CE_strategy.html", "View")</f>
        <v/>
      </c>
      <c r="N105" t="inlineStr"/>
      <c r="O105" t="inlineStr"/>
      <c r="P105" t="inlineStr">
        <is>
          <t>BULLISH</t>
        </is>
      </c>
      <c r="Q105" t="inlineStr">
        <is>
          <t>INCLUDED (HYBRID_v5_BULLISH_CE)</t>
        </is>
      </c>
      <c r="R105" t="n">
        <v>35.97</v>
      </c>
      <c r="S105" t="inlineStr">
        <is>
          <t>Dynamic Trailing MA (Fast/Slow MA)</t>
        </is>
      </c>
      <c r="T105" t="n">
        <v>0.6156</v>
      </c>
      <c r="U105" t="n">
        <v>0.6351</v>
      </c>
      <c r="V105" t="inlineStr">
        <is>
          <t>2026-01-14</t>
        </is>
      </c>
      <c r="W105" t="inlineStr">
        <is>
          <t>Between R1 and S1</t>
        </is>
      </c>
      <c r="X105" t="n">
        <v>25697.69</v>
      </c>
      <c r="Y105" t="n">
        <v>25886.97</v>
      </c>
      <c r="Z105" t="n">
        <v>25590.47</v>
      </c>
      <c r="AA105" t="n">
        <v>26041.63</v>
      </c>
      <c r="AB105" t="n">
        <v>25448.63</v>
      </c>
      <c r="AC105" t="n">
        <v>26183.47</v>
      </c>
      <c r="AD105" t="n">
        <v>25293.97</v>
      </c>
    </row>
    <row r="106">
      <c r="A106">
        <f>HYPERLINK("../../data/JAN20_DYNAMIC/JAN14/OTM/NIFTY2612025650PE_strategy.csv", "NIFTY2612025650PE")</f>
        <v/>
      </c>
      <c r="B106" t="inlineStr">
        <is>
          <t>PE</t>
        </is>
      </c>
      <c r="C106" t="inlineStr">
        <is>
          <t>10:46:01</t>
        </is>
      </c>
      <c r="D106" t="inlineStr">
        <is>
          <t>10:48:00</t>
        </is>
      </c>
      <c r="E106" t="n">
        <v>109.95</v>
      </c>
      <c r="F106" t="n">
        <v>101.15</v>
      </c>
      <c r="G106" t="n">
        <v>97253.2</v>
      </c>
      <c r="H106" t="n">
        <v>105710</v>
      </c>
      <c r="I106" t="n">
        <v>73997</v>
      </c>
      <c r="J106" t="inlineStr">
        <is>
          <t>EXECUTED</t>
        </is>
      </c>
      <c r="K106" t="n">
        <v>1.77</v>
      </c>
      <c r="L106" t="n">
        <v>-19.33</v>
      </c>
      <c r="M106">
        <f>HYPERLINK("../../data/JAN20_DYNAMIC/JAN14/OTM/NIFTY2612025650PE_strategy.html", "View")</f>
        <v/>
      </c>
      <c r="N106" t="inlineStr"/>
      <c r="O106" t="inlineStr"/>
      <c r="P106" t="inlineStr">
        <is>
          <t>NEUTRAL</t>
        </is>
      </c>
      <c r="Q106" t="inlineStr">
        <is>
          <t>INCLUDED</t>
        </is>
      </c>
      <c r="R106" t="n">
        <v>-8</v>
      </c>
      <c r="S106" t="inlineStr">
        <is>
          <t>Fixed SL Exit</t>
        </is>
      </c>
      <c r="T106" t="n">
        <v>0.4775</v>
      </c>
      <c r="U106" t="inlineStr"/>
      <c r="V106" t="inlineStr">
        <is>
          <t>2026-01-14</t>
        </is>
      </c>
      <c r="W106" t="inlineStr">
        <is>
          <t>Between R1 and S1</t>
        </is>
      </c>
      <c r="X106" t="n">
        <v>25665.88</v>
      </c>
      <c r="Y106" t="n">
        <v>25886.97</v>
      </c>
      <c r="Z106" t="n">
        <v>25590.47</v>
      </c>
      <c r="AA106" t="n">
        <v>26041.63</v>
      </c>
      <c r="AB106" t="n">
        <v>25448.63</v>
      </c>
      <c r="AC106" t="n">
        <v>26183.47</v>
      </c>
      <c r="AD106" t="n">
        <v>25293.97</v>
      </c>
    </row>
    <row r="107">
      <c r="A107">
        <f>HYPERLINK("../../data/JAN20_DYNAMIC/JAN14/OTM/NIFTY2612025700PE_strategy.csv", "NIFTY2612025700PE")</f>
        <v/>
      </c>
      <c r="B107" t="inlineStr">
        <is>
          <t>PE</t>
        </is>
      </c>
      <c r="C107" t="inlineStr">
        <is>
          <t>10:06:01</t>
        </is>
      </c>
      <c r="D107" t="inlineStr">
        <is>
          <t>10:41:00</t>
        </is>
      </c>
      <c r="E107" t="n">
        <v>112.2</v>
      </c>
      <c r="F107" t="n">
        <v>118.61</v>
      </c>
      <c r="G107" t="n">
        <v>105710</v>
      </c>
      <c r="H107" t="n">
        <v>105710</v>
      </c>
      <c r="I107" t="n">
        <v>73997</v>
      </c>
      <c r="J107" t="inlineStr">
        <is>
          <t>EXECUTED</t>
        </is>
      </c>
      <c r="K107" t="n">
        <v>26.56</v>
      </c>
      <c r="L107" t="n">
        <v>-7.22</v>
      </c>
      <c r="M107">
        <f>HYPERLINK("../../data/JAN20_DYNAMIC/JAN14/OTM/NIFTY2612025700PE_strategy.html", "View")</f>
        <v/>
      </c>
      <c r="N107" t="inlineStr"/>
      <c r="O107" t="inlineStr"/>
      <c r="P107" t="inlineStr">
        <is>
          <t>BEARISH</t>
        </is>
      </c>
      <c r="Q107" t="inlineStr">
        <is>
          <t>INCLUDED (HYBRID_v5_BEARISH_PE)</t>
        </is>
      </c>
      <c r="R107" t="n">
        <v>5.71</v>
      </c>
      <c r="S107" t="inlineStr">
        <is>
          <t>SuperTrend Stop Loss Exit</t>
        </is>
      </c>
      <c r="T107" t="n">
        <v>0.4359</v>
      </c>
      <c r="U107" t="n">
        <v>0.8066</v>
      </c>
      <c r="V107" t="inlineStr">
        <is>
          <t>2026-01-14</t>
        </is>
      </c>
      <c r="W107" t="inlineStr">
        <is>
          <t>Between R1 and S1</t>
        </is>
      </c>
      <c r="X107" t="n">
        <v>25716.06</v>
      </c>
      <c r="Y107" t="n">
        <v>25886.97</v>
      </c>
      <c r="Z107" t="n">
        <v>25590.47</v>
      </c>
      <c r="AA107" t="n">
        <v>26041.63</v>
      </c>
      <c r="AB107" t="n">
        <v>25448.63</v>
      </c>
      <c r="AC107" t="n">
        <v>26183.47</v>
      </c>
      <c r="AD107" t="n">
        <v>25293.97</v>
      </c>
    </row>
    <row r="108">
      <c r="A108">
        <f>HYPERLINK("../../data/JAN20_DYNAMIC/JAN16/OTM/NIFTY2612025700CE_strategy.csv", "NIFTY2612025700CE")</f>
        <v/>
      </c>
      <c r="B108" t="inlineStr">
        <is>
          <t>CE</t>
        </is>
      </c>
      <c r="C108" t="inlineStr">
        <is>
          <t>14:08:01</t>
        </is>
      </c>
      <c r="D108" t="inlineStr">
        <is>
          <t>14:09:00</t>
        </is>
      </c>
      <c r="E108" t="n">
        <v>112.6</v>
      </c>
      <c r="F108" t="n">
        <v>103.59</v>
      </c>
      <c r="G108" t="n">
        <v>101588.58</v>
      </c>
      <c r="H108" t="n">
        <v>152462.03</v>
      </c>
      <c r="I108" t="n">
        <v>106723.42</v>
      </c>
      <c r="J108" t="inlineStr">
        <is>
          <t>EXECUTED</t>
        </is>
      </c>
      <c r="K108" t="n">
        <v>2.35</v>
      </c>
      <c r="L108" t="n">
        <v>-6.75</v>
      </c>
      <c r="M108">
        <f>HYPERLINK("../../data/JAN20_DYNAMIC/JAN16/OTM/NIFTY2612025700CE_strategy.html", "View")</f>
        <v/>
      </c>
      <c r="N108" t="inlineStr"/>
      <c r="O108" t="inlineStr"/>
      <c r="P108" t="inlineStr">
        <is>
          <t>NEUTRAL</t>
        </is>
      </c>
      <c r="Q108" t="inlineStr">
        <is>
          <t>INCLUDED</t>
        </is>
      </c>
      <c r="R108" t="n">
        <v>-8</v>
      </c>
      <c r="S108" t="inlineStr">
        <is>
          <t>Fixed Stop Loss</t>
        </is>
      </c>
      <c r="T108" t="n">
        <v>0.5711000000000001</v>
      </c>
      <c r="U108" t="inlineStr"/>
      <c r="V108" t="inlineStr">
        <is>
          <t>2026-01-16</t>
        </is>
      </c>
      <c r="W108" t="inlineStr">
        <is>
          <t>Between R1 and S1</t>
        </is>
      </c>
      <c r="X108" t="n">
        <v>25692.18</v>
      </c>
      <c r="Y108" t="n">
        <v>25770.25</v>
      </c>
      <c r="Z108" t="n">
        <v>25582.45</v>
      </c>
      <c r="AA108" t="n">
        <v>25874.9</v>
      </c>
      <c r="AB108" t="n">
        <v>25499.3</v>
      </c>
      <c r="AC108" t="n">
        <v>25958.05</v>
      </c>
      <c r="AD108" t="n">
        <v>25394.65</v>
      </c>
    </row>
    <row r="109">
      <c r="A109">
        <f>HYPERLINK("../../data/JAN20_DYNAMIC/JAN16/OTM/NIFTY2612025700CE_strategy.csv", "NIFTY2612025700CE")</f>
        <v/>
      </c>
      <c r="B109" t="inlineStr">
        <is>
          <t>CE</t>
        </is>
      </c>
      <c r="C109" t="inlineStr">
        <is>
          <t>13:30:01</t>
        </is>
      </c>
      <c r="D109" t="inlineStr">
        <is>
          <t>13:42:00</t>
        </is>
      </c>
      <c r="E109" t="n">
        <v>120.55</v>
      </c>
      <c r="F109" t="n">
        <v>119.45</v>
      </c>
      <c r="G109" t="n">
        <v>110422.37</v>
      </c>
      <c r="H109" t="n">
        <v>152462.03</v>
      </c>
      <c r="I109" t="n">
        <v>106723.42</v>
      </c>
      <c r="J109" t="inlineStr">
        <is>
          <t>EXECUTED</t>
        </is>
      </c>
      <c r="K109" t="n">
        <v>7.71</v>
      </c>
      <c r="L109" t="n">
        <v>-15.39</v>
      </c>
      <c r="M109">
        <f>HYPERLINK("../../data/JAN20_DYNAMIC/JAN16/OTM/NIFTY2612025700CE_strategy.html", "View")</f>
        <v/>
      </c>
      <c r="N109" t="inlineStr"/>
      <c r="O109" t="inlineStr"/>
      <c r="P109" t="inlineStr">
        <is>
          <t>BULLISH</t>
        </is>
      </c>
      <c r="Q109" t="inlineStr">
        <is>
          <t>INCLUDED (HYBRID_v5_BULLISH_CE)</t>
        </is>
      </c>
      <c r="R109" t="n">
        <v>-0.91</v>
      </c>
      <c r="S109" t="inlineStr">
        <is>
          <t>Dynamic Trailing MA (Fast/Slow MA)</t>
        </is>
      </c>
      <c r="T109" t="n">
        <v>0.3723</v>
      </c>
      <c r="U109" t="n">
        <v>0.4739</v>
      </c>
      <c r="V109" t="inlineStr">
        <is>
          <t>2026-01-16</t>
        </is>
      </c>
      <c r="W109" t="inlineStr">
        <is>
          <t>Between R1 and S1</t>
        </is>
      </c>
      <c r="X109" t="n">
        <v>25701.42</v>
      </c>
      <c r="Y109" t="n">
        <v>25770.25</v>
      </c>
      <c r="Z109" t="n">
        <v>25582.45</v>
      </c>
      <c r="AA109" t="n">
        <v>25874.9</v>
      </c>
      <c r="AB109" t="n">
        <v>25499.3</v>
      </c>
      <c r="AC109" t="n">
        <v>25958.05</v>
      </c>
      <c r="AD109" t="n">
        <v>25394.65</v>
      </c>
    </row>
    <row r="110">
      <c r="A110">
        <f>HYPERLINK("../../data/JAN20_DYNAMIC/JAN16/OTM/NIFTY2612025800CE_strategy.csv", "NIFTY2612025800CE")</f>
        <v/>
      </c>
      <c r="B110" t="inlineStr">
        <is>
          <t>CE</t>
        </is>
      </c>
      <c r="C110" t="inlineStr">
        <is>
          <t>12:55:01</t>
        </is>
      </c>
      <c r="D110" t="inlineStr">
        <is>
          <t>12:57:00</t>
        </is>
      </c>
      <c r="E110" t="n">
        <v>103.6</v>
      </c>
      <c r="F110" t="n">
        <v>95.31</v>
      </c>
      <c r="G110" t="n">
        <v>111436.45</v>
      </c>
      <c r="H110" t="n">
        <v>152462.03</v>
      </c>
      <c r="I110" t="n">
        <v>106723.42</v>
      </c>
      <c r="J110" t="inlineStr">
        <is>
          <t>EXECUTED</t>
        </is>
      </c>
      <c r="K110" t="n">
        <v>0</v>
      </c>
      <c r="L110" t="n">
        <v>-16.22</v>
      </c>
      <c r="M110">
        <f>HYPERLINK("../../data/JAN20_DYNAMIC/JAN16/OTM/NIFTY2612025800CE_strategy.html", "View")</f>
        <v/>
      </c>
      <c r="N110" t="inlineStr"/>
      <c r="O110" t="inlineStr"/>
      <c r="P110" t="inlineStr">
        <is>
          <t>NEUTRAL</t>
        </is>
      </c>
      <c r="Q110" t="inlineStr">
        <is>
          <t>INCLUDED</t>
        </is>
      </c>
      <c r="R110" t="n">
        <v>-8</v>
      </c>
      <c r="S110" t="inlineStr">
        <is>
          <t>Fixed Stop Loss</t>
        </is>
      </c>
      <c r="T110" t="n">
        <v>0.4963</v>
      </c>
      <c r="U110" t="inlineStr"/>
      <c r="V110" t="inlineStr">
        <is>
          <t>2026-01-16</t>
        </is>
      </c>
      <c r="W110" t="inlineStr">
        <is>
          <t>Between R1 and S1</t>
        </is>
      </c>
      <c r="X110" t="n">
        <v>25764.15</v>
      </c>
      <c r="Y110" t="n">
        <v>25770.25</v>
      </c>
      <c r="Z110" t="n">
        <v>25582.45</v>
      </c>
      <c r="AA110" t="n">
        <v>25874.9</v>
      </c>
      <c r="AB110" t="n">
        <v>25499.3</v>
      </c>
      <c r="AC110" t="n">
        <v>25958.05</v>
      </c>
      <c r="AD110" t="n">
        <v>25394.65</v>
      </c>
    </row>
    <row r="111">
      <c r="A111">
        <f>HYPERLINK("../../data/JAN20_DYNAMIC/JAN16/OTM/NIFTY2612025750CE_strategy.csv", "NIFTY2612025750CE")</f>
        <v/>
      </c>
      <c r="B111" t="inlineStr">
        <is>
          <t>CE</t>
        </is>
      </c>
      <c r="C111" t="inlineStr">
        <is>
          <t>09:43:01</t>
        </is>
      </c>
      <c r="D111" t="inlineStr">
        <is>
          <t>10:43:00</t>
        </is>
      </c>
      <c r="E111" t="n">
        <v>103.75</v>
      </c>
      <c r="F111" t="n">
        <v>186.88</v>
      </c>
      <c r="G111" t="n">
        <v>152462.03</v>
      </c>
      <c r="H111" t="n">
        <v>152462.03</v>
      </c>
      <c r="I111" t="n">
        <v>106723.42</v>
      </c>
      <c r="J111" t="inlineStr">
        <is>
          <t>EXECUTED</t>
        </is>
      </c>
      <c r="K111" t="n">
        <v>6.14</v>
      </c>
      <c r="L111" t="n">
        <v>-10.17</v>
      </c>
      <c r="M111">
        <f>HYPERLINK("../../data/JAN20_DYNAMIC/JAN16/OTM/NIFTY2612025750CE_strategy.html", "View")</f>
        <v/>
      </c>
      <c r="N111" t="inlineStr"/>
      <c r="O111" t="inlineStr"/>
      <c r="P111" t="inlineStr">
        <is>
          <t>BULLISH</t>
        </is>
      </c>
      <c r="Q111" t="inlineStr">
        <is>
          <t>INCLUDED (HYBRID_v5_BULLISH_CE)</t>
        </is>
      </c>
      <c r="R111" t="n">
        <v>80.13</v>
      </c>
      <c r="S111" t="inlineStr">
        <is>
          <t>SuperTrend Stop Loss Exit</t>
        </is>
      </c>
      <c r="T111" t="n">
        <v>0.3315</v>
      </c>
      <c r="U111" t="n">
        <v>0.4075</v>
      </c>
      <c r="V111" t="inlineStr">
        <is>
          <t>2026-01-16</t>
        </is>
      </c>
      <c r="W111" t="inlineStr">
        <is>
          <t>Between R1 and S1</t>
        </is>
      </c>
      <c r="X111" t="n">
        <v>25715.44</v>
      </c>
      <c r="Y111" t="n">
        <v>25770.25</v>
      </c>
      <c r="Z111" t="n">
        <v>25582.45</v>
      </c>
      <c r="AA111" t="n">
        <v>25874.9</v>
      </c>
      <c r="AB111" t="n">
        <v>25499.3</v>
      </c>
      <c r="AC111" t="n">
        <v>25958.05</v>
      </c>
      <c r="AD111" t="n">
        <v>25394.65</v>
      </c>
    </row>
    <row r="112">
      <c r="A112">
        <f>HYPERLINK("../../data/JAN20_DYNAMIC/JAN16/OTM/NIFTY2612025750CE_strategy.csv", "NIFTY2612025750CE")</f>
        <v/>
      </c>
      <c r="B112" t="inlineStr">
        <is>
          <t>CE</t>
        </is>
      </c>
      <c r="C112" t="inlineStr">
        <is>
          <t>09:37:01</t>
        </is>
      </c>
      <c r="D112" t="inlineStr">
        <is>
          <t>09:39:00</t>
        </is>
      </c>
      <c r="E112" t="n">
        <v>104.8</v>
      </c>
      <c r="F112" t="n">
        <v>96.42</v>
      </c>
      <c r="G112" t="n">
        <v>84640</v>
      </c>
      <c r="H112" t="n">
        <v>100000</v>
      </c>
      <c r="I112" t="n">
        <v>70000</v>
      </c>
      <c r="J112" t="inlineStr">
        <is>
          <t>EXECUTED</t>
        </is>
      </c>
      <c r="K112" t="n">
        <v>0.43</v>
      </c>
      <c r="L112" t="n">
        <v>-10.31</v>
      </c>
      <c r="M112">
        <f>HYPERLINK("../../data/JAN20_DYNAMIC/JAN16/OTM/NIFTY2612025750CE_strategy.html", "View")</f>
        <v/>
      </c>
      <c r="N112" t="inlineStr"/>
      <c r="O112" t="inlineStr"/>
      <c r="P112" t="inlineStr">
        <is>
          <t>BULLISH</t>
        </is>
      </c>
      <c r="Q112" t="inlineStr">
        <is>
          <t>INCLUDED (HYBRID_v5_BULLISH_CE)</t>
        </is>
      </c>
      <c r="R112" t="n">
        <v>-8</v>
      </c>
      <c r="S112" t="inlineStr">
        <is>
          <t>Fixed Stop Loss</t>
        </is>
      </c>
      <c r="T112" t="n">
        <v>0.2469</v>
      </c>
      <c r="U112" t="inlineStr"/>
      <c r="V112" t="inlineStr">
        <is>
          <t>2026-01-16</t>
        </is>
      </c>
      <c r="W112" t="inlineStr">
        <is>
          <t>Between R1 and S1</t>
        </is>
      </c>
      <c r="X112" t="n">
        <v>25706.9</v>
      </c>
      <c r="Y112" t="n">
        <v>25770.25</v>
      </c>
      <c r="Z112" t="n">
        <v>25582.45</v>
      </c>
      <c r="AA112" t="n">
        <v>25874.9</v>
      </c>
      <c r="AB112" t="n">
        <v>25499.3</v>
      </c>
      <c r="AC112" t="n">
        <v>25958.05</v>
      </c>
      <c r="AD112" t="n">
        <v>25394.65</v>
      </c>
    </row>
    <row r="113">
      <c r="A113">
        <f>HYPERLINK("../../data/JAN20_DYNAMIC/JAN16/OTM/NIFTY2612025700PE_strategy.csv", "NIFTY2612025700PE")</f>
        <v/>
      </c>
      <c r="B113" t="inlineStr">
        <is>
          <t>PE</t>
        </is>
      </c>
      <c r="C113" t="inlineStr">
        <is>
          <t>09:33:01</t>
        </is>
      </c>
      <c r="D113" t="inlineStr">
        <is>
          <t>09:34:00</t>
        </is>
      </c>
      <c r="E113" t="n">
        <v>100.4</v>
      </c>
      <c r="F113" t="n">
        <v>92.37</v>
      </c>
      <c r="G113" t="n">
        <v>92000</v>
      </c>
      <c r="H113" t="n">
        <v>100000</v>
      </c>
      <c r="I113" t="n">
        <v>70000</v>
      </c>
      <c r="J113" t="inlineStr">
        <is>
          <t>EXECUTED</t>
        </is>
      </c>
      <c r="K113" t="n">
        <v>0</v>
      </c>
      <c r="L113" t="n">
        <v>-17.18</v>
      </c>
      <c r="M113">
        <f>HYPERLINK("../../data/JAN20_DYNAMIC/JAN16/OTM/NIFTY2612025700PE_strategy.html", "View")</f>
        <v/>
      </c>
      <c r="N113" t="inlineStr"/>
      <c r="O113" t="inlineStr"/>
      <c r="P113" t="inlineStr">
        <is>
          <t>NEUTRAL</t>
        </is>
      </c>
      <c r="Q113" t="inlineStr">
        <is>
          <t>INCLUDED</t>
        </is>
      </c>
      <c r="R113" t="n">
        <v>-8</v>
      </c>
      <c r="S113" t="inlineStr">
        <is>
          <t>Fixed Stop Loss</t>
        </is>
      </c>
      <c r="T113" t="n">
        <v>0.7775</v>
      </c>
      <c r="U113" t="inlineStr"/>
      <c r="V113" t="inlineStr">
        <is>
          <t>2026-01-16</t>
        </is>
      </c>
      <c r="W113" t="inlineStr">
        <is>
          <t>Between R1 and S1</t>
        </is>
      </c>
      <c r="X113" t="n">
        <v>25696.28</v>
      </c>
      <c r="Y113" t="n">
        <v>25770.25</v>
      </c>
      <c r="Z113" t="n">
        <v>25582.45</v>
      </c>
      <c r="AA113" t="n">
        <v>25874.9</v>
      </c>
      <c r="AB113" t="n">
        <v>25499.3</v>
      </c>
      <c r="AC113" t="n">
        <v>25958.05</v>
      </c>
      <c r="AD113" t="n">
        <v>25394.65</v>
      </c>
    </row>
    <row r="114">
      <c r="A114">
        <f>HYPERLINK("../../data/JAN20_DYNAMIC/JAN19/OTM/NIFTY2612025600PE_strategy.csv", "NIFTY2612025600PE")</f>
        <v/>
      </c>
      <c r="B114" t="inlineStr">
        <is>
          <t>PE</t>
        </is>
      </c>
      <c r="C114" t="inlineStr">
        <is>
          <t>14:58:01</t>
        </is>
      </c>
      <c r="D114" t="inlineStr">
        <is>
          <t>15:12:00</t>
        </is>
      </c>
      <c r="E114" t="n">
        <v>59.5</v>
      </c>
      <c r="F114" t="n">
        <v>72.84999999999999</v>
      </c>
      <c r="G114" t="n">
        <v>113988.06</v>
      </c>
      <c r="H114" t="n">
        <v>113988.06</v>
      </c>
      <c r="I114" t="n">
        <v>79791.64</v>
      </c>
      <c r="J114" t="inlineStr">
        <is>
          <t>EXECUTED</t>
        </is>
      </c>
      <c r="K114" t="n">
        <v>23.03</v>
      </c>
      <c r="L114" t="n">
        <v>-9.58</v>
      </c>
      <c r="M114">
        <f>HYPERLINK("../../data/JAN20_DYNAMIC/JAN19/OTM/NIFTY2612025600PE_strategy.html", "View")</f>
        <v/>
      </c>
      <c r="N114" t="inlineStr"/>
      <c r="O114" t="inlineStr"/>
      <c r="P114" t="inlineStr">
        <is>
          <t>NEUTRAL</t>
        </is>
      </c>
      <c r="Q114" t="inlineStr">
        <is>
          <t>INCLUDED</t>
        </is>
      </c>
      <c r="R114" t="n">
        <v>22.44</v>
      </c>
      <c r="S114" t="inlineStr">
        <is>
          <t>EOD Exit</t>
        </is>
      </c>
      <c r="T114" t="n">
        <v>0.4544</v>
      </c>
      <c r="U114" t="n">
        <v>0.5901</v>
      </c>
      <c r="V114" t="inlineStr">
        <is>
          <t>2026-01-19</t>
        </is>
      </c>
      <c r="W114" t="inlineStr">
        <is>
          <t>Between R1 and S1</t>
        </is>
      </c>
      <c r="X114" t="n">
        <v>25626.72</v>
      </c>
      <c r="Y114" t="n">
        <v>25824.43</v>
      </c>
      <c r="Z114" t="n">
        <v>25613.33</v>
      </c>
      <c r="AA114" t="n">
        <v>25954.52</v>
      </c>
      <c r="AB114" t="n">
        <v>25532.32</v>
      </c>
      <c r="AC114" t="n">
        <v>26035.53</v>
      </c>
      <c r="AD114" t="n">
        <v>25402.23</v>
      </c>
    </row>
    <row r="115">
      <c r="A115">
        <f>HYPERLINK("../../data/JAN27_DYNAMIC/JAN21/OTM/NIFTY26JAN25150PE_strategy.csv", "NIFTY26JAN25150PE")</f>
        <v/>
      </c>
      <c r="B115" t="inlineStr">
        <is>
          <t>PE</t>
        </is>
      </c>
      <c r="C115" t="inlineStr">
        <is>
          <t>15:10:01</t>
        </is>
      </c>
      <c r="D115" t="inlineStr">
        <is>
          <t>15:14:00</t>
        </is>
      </c>
      <c r="E115" t="n">
        <v>140.55</v>
      </c>
      <c r="F115" t="n">
        <v>148.05</v>
      </c>
      <c r="G115" t="n">
        <v>83185.19</v>
      </c>
      <c r="H115" t="n">
        <v>100000</v>
      </c>
      <c r="I115" t="n">
        <v>70000</v>
      </c>
      <c r="J115" t="inlineStr">
        <is>
          <t>EXECUTED</t>
        </is>
      </c>
      <c r="K115" t="n">
        <v>9.43</v>
      </c>
      <c r="L115" t="n">
        <v>-9.93</v>
      </c>
      <c r="M115">
        <f>HYPERLINK("../../data/JAN27_DYNAMIC/JAN21/OTM/NIFTY26JAN25150PE_strategy.html", "View")</f>
        <v/>
      </c>
      <c r="N115" t="inlineStr"/>
      <c r="O115" t="inlineStr"/>
      <c r="P115" t="inlineStr">
        <is>
          <t>BEARISH</t>
        </is>
      </c>
      <c r="Q115" t="inlineStr">
        <is>
          <t>INCLUDED (HYBRID_v5_BEARISH_PE)</t>
        </is>
      </c>
      <c r="R115" t="n">
        <v>5.34</v>
      </c>
      <c r="S115" t="inlineStr">
        <is>
          <t>EOD Exit</t>
        </is>
      </c>
      <c r="T115" t="n">
        <v>0.497</v>
      </c>
      <c r="U115" t="n">
        <v>0.5135</v>
      </c>
      <c r="V115" t="inlineStr">
        <is>
          <t>2026-01-21</t>
        </is>
      </c>
      <c r="W115" t="inlineStr">
        <is>
          <t>Between R1 and S1</t>
        </is>
      </c>
      <c r="X115" t="n">
        <v>25163.26</v>
      </c>
      <c r="Y115" t="n">
        <v>25487.88</v>
      </c>
      <c r="Z115" t="n">
        <v>25074.23</v>
      </c>
      <c r="AA115" t="n">
        <v>25743.27</v>
      </c>
      <c r="AB115" t="n">
        <v>24915.97</v>
      </c>
      <c r="AC115" t="n">
        <v>25901.53</v>
      </c>
      <c r="AD115" t="n">
        <v>24660.58</v>
      </c>
    </row>
    <row r="116">
      <c r="A116">
        <f>HYPERLINK("../../data/JAN27_DYNAMIC/JAN21/OTM/NIFTY26JAN25200CE_strategy.csv", "NIFTY26JAN25200CE")</f>
        <v/>
      </c>
      <c r="B116" t="inlineStr">
        <is>
          <t>CE</t>
        </is>
      </c>
      <c r="C116" t="inlineStr">
        <is>
          <t>14:34:01</t>
        </is>
      </c>
      <c r="D116" t="inlineStr">
        <is>
          <t>14:44:00</t>
        </is>
      </c>
      <c r="E116" t="n">
        <v>149.7</v>
      </c>
      <c r="F116" t="n">
        <v>139.97</v>
      </c>
      <c r="G116" t="n">
        <v>78968.28</v>
      </c>
      <c r="H116" t="n">
        <v>100000</v>
      </c>
      <c r="I116" t="n">
        <v>70000</v>
      </c>
      <c r="J116" t="inlineStr">
        <is>
          <t>EXECUTED</t>
        </is>
      </c>
      <c r="K116" t="n">
        <v>4.84</v>
      </c>
      <c r="L116" t="n">
        <v>-13.16</v>
      </c>
      <c r="M116">
        <f>HYPERLINK("../../data/JAN27_DYNAMIC/JAN21/OTM/NIFTY26JAN25200CE_strategy.html", "View")</f>
        <v/>
      </c>
      <c r="N116" t="inlineStr"/>
      <c r="O116" t="inlineStr"/>
      <c r="P116" t="inlineStr">
        <is>
          <t>BULLISH</t>
        </is>
      </c>
      <c r="Q116" t="inlineStr">
        <is>
          <t>INCLUDED (HYBRID_v5_BULLISH_CE)</t>
        </is>
      </c>
      <c r="R116" t="n">
        <v>-6.5</v>
      </c>
      <c r="S116" t="inlineStr">
        <is>
          <t>Fixed Stop Loss</t>
        </is>
      </c>
      <c r="T116" t="n">
        <v>0.4294</v>
      </c>
      <c r="U116" t="inlineStr"/>
      <c r="V116" t="inlineStr">
        <is>
          <t>2026-01-21</t>
        </is>
      </c>
      <c r="W116" t="inlineStr">
        <is>
          <t>Between R1 and S1</t>
        </is>
      </c>
      <c r="X116" t="n">
        <v>25160</v>
      </c>
      <c r="Y116" t="n">
        <v>25487.88</v>
      </c>
      <c r="Z116" t="n">
        <v>25074.23</v>
      </c>
      <c r="AA116" t="n">
        <v>25743.27</v>
      </c>
      <c r="AB116" t="n">
        <v>24915.97</v>
      </c>
      <c r="AC116" t="n">
        <v>25901.53</v>
      </c>
      <c r="AD116" t="n">
        <v>24660.58</v>
      </c>
    </row>
    <row r="117">
      <c r="A117">
        <f>HYPERLINK("../../data/JAN27_DYNAMIC/JAN21/OTM/NIFTY26JAN25250CE_strategy.csv", "NIFTY26JAN25250CE")</f>
        <v/>
      </c>
      <c r="B117" t="inlineStr">
        <is>
          <t>CE</t>
        </is>
      </c>
      <c r="C117" t="inlineStr">
        <is>
          <t>13:39:01</t>
        </is>
      </c>
      <c r="D117" t="inlineStr">
        <is>
          <t>13:41:00</t>
        </is>
      </c>
      <c r="E117" t="n">
        <v>165.25</v>
      </c>
      <c r="F117" t="n">
        <v>154.51</v>
      </c>
      <c r="G117" t="n">
        <v>84458.06</v>
      </c>
      <c r="H117" t="n">
        <v>100000</v>
      </c>
      <c r="I117" t="n">
        <v>70000</v>
      </c>
      <c r="J117" t="inlineStr">
        <is>
          <t>EXECUTED</t>
        </is>
      </c>
      <c r="K117" t="n">
        <v>1.69</v>
      </c>
      <c r="L117" t="n">
        <v>-14.67</v>
      </c>
      <c r="M117">
        <f>HYPERLINK("../../data/JAN27_DYNAMIC/JAN21/OTM/NIFTY26JAN25250CE_strategy.html", "View")</f>
        <v/>
      </c>
      <c r="N117" t="inlineStr"/>
      <c r="O117" t="inlineStr"/>
      <c r="P117" t="inlineStr">
        <is>
          <t>NEUTRAL</t>
        </is>
      </c>
      <c r="Q117" t="inlineStr">
        <is>
          <t>INCLUDED</t>
        </is>
      </c>
      <c r="R117" t="n">
        <v>-6.5</v>
      </c>
      <c r="S117" t="inlineStr">
        <is>
          <t>Fixed Stop Loss</t>
        </is>
      </c>
      <c r="T117" t="n">
        <v>0.6515</v>
      </c>
      <c r="U117" t="inlineStr"/>
      <c r="V117" t="inlineStr">
        <is>
          <t>2026-01-21</t>
        </is>
      </c>
      <c r="W117" t="inlineStr">
        <is>
          <t>Between R1 and S1</t>
        </is>
      </c>
      <c r="X117" t="n">
        <v>25216.2</v>
      </c>
      <c r="Y117" t="n">
        <v>25487.88</v>
      </c>
      <c r="Z117" t="n">
        <v>25074.23</v>
      </c>
      <c r="AA117" t="n">
        <v>25743.27</v>
      </c>
      <c r="AB117" t="n">
        <v>24915.97</v>
      </c>
      <c r="AC117" t="n">
        <v>25901.53</v>
      </c>
      <c r="AD117" t="n">
        <v>24660.58</v>
      </c>
    </row>
    <row r="118">
      <c r="A118">
        <f>HYPERLINK("../../data/JAN27_DYNAMIC/JAN21/OTM/NIFTY26JAN25250PE_strategy.csv", "NIFTY26JAN25250PE")</f>
        <v/>
      </c>
      <c r="B118" t="inlineStr">
        <is>
          <t>PE</t>
        </is>
      </c>
      <c r="C118" t="inlineStr">
        <is>
          <t>13:10:01</t>
        </is>
      </c>
      <c r="D118" t="inlineStr">
        <is>
          <t>13:39:00</t>
        </is>
      </c>
      <c r="E118" t="n">
        <v>141.95</v>
      </c>
      <c r="F118" t="n">
        <v>159.43</v>
      </c>
      <c r="G118" t="n">
        <v>90329.47</v>
      </c>
      <c r="H118" t="n">
        <v>100000</v>
      </c>
      <c r="I118" t="n">
        <v>70000</v>
      </c>
      <c r="J118" t="inlineStr">
        <is>
          <t>EXECUTED</t>
        </is>
      </c>
      <c r="K118" t="n">
        <v>32.79</v>
      </c>
      <c r="L118" t="n">
        <v>-8.380000000000001</v>
      </c>
      <c r="M118">
        <f>HYPERLINK("../../data/JAN27_DYNAMIC/JAN21/OTM/NIFTY26JAN25250PE_strategy.html", "View")</f>
        <v/>
      </c>
      <c r="N118" t="inlineStr"/>
      <c r="O118" t="inlineStr"/>
      <c r="P118" t="inlineStr">
        <is>
          <t>BEARISH</t>
        </is>
      </c>
      <c r="Q118" t="inlineStr">
        <is>
          <t>INCLUDED (HYBRID_v5_BEARISH_PE)</t>
        </is>
      </c>
      <c r="R118" t="n">
        <v>12.31</v>
      </c>
      <c r="S118" t="inlineStr">
        <is>
          <t>SuperTrend Stop Loss Exit</t>
        </is>
      </c>
      <c r="T118" t="n">
        <v>0.7816</v>
      </c>
      <c r="U118" t="n">
        <v>0.7591</v>
      </c>
      <c r="V118" t="inlineStr">
        <is>
          <t>2026-01-21</t>
        </is>
      </c>
      <c r="W118" t="inlineStr">
        <is>
          <t>Between R1 and S1</t>
        </is>
      </c>
      <c r="X118" t="n">
        <v>25240.1</v>
      </c>
      <c r="Y118" t="n">
        <v>25487.88</v>
      </c>
      <c r="Z118" t="n">
        <v>25074.23</v>
      </c>
      <c r="AA118" t="n">
        <v>25743.27</v>
      </c>
      <c r="AB118" t="n">
        <v>24915.97</v>
      </c>
      <c r="AC118" t="n">
        <v>25901.53</v>
      </c>
      <c r="AD118" t="n">
        <v>24660.58</v>
      </c>
    </row>
    <row r="119">
      <c r="A119">
        <f>HYPERLINK("../../data/JAN27_DYNAMIC/JAN21/OTM/NIFTY26JAN25150PE_strategy.csv", "NIFTY26JAN25150PE")</f>
        <v/>
      </c>
      <c r="B119" t="inlineStr">
        <is>
          <t>PE</t>
        </is>
      </c>
      <c r="C119" t="inlineStr">
        <is>
          <t>09:40:01</t>
        </is>
      </c>
      <c r="D119" t="inlineStr">
        <is>
          <t>09:42:00</t>
        </is>
      </c>
      <c r="E119" t="n">
        <v>108.5</v>
      </c>
      <c r="F119" t="n">
        <v>99.81999999999999</v>
      </c>
      <c r="G119" t="n">
        <v>92000</v>
      </c>
      <c r="H119" t="n">
        <v>100000</v>
      </c>
      <c r="I119" t="n">
        <v>70000</v>
      </c>
      <c r="J119" t="inlineStr">
        <is>
          <t>EXECUTED</t>
        </is>
      </c>
      <c r="K119" t="n">
        <v>1.52</v>
      </c>
      <c r="L119" t="n">
        <v>-17.51</v>
      </c>
      <c r="M119">
        <f>HYPERLINK("../../data/JAN27_DYNAMIC/JAN21/OTM/NIFTY26JAN25150PE_strategy.html", "View")</f>
        <v/>
      </c>
      <c r="N119" t="inlineStr"/>
      <c r="O119" t="inlineStr"/>
      <c r="P119" t="inlineStr">
        <is>
          <t>NEUTRAL</t>
        </is>
      </c>
      <c r="Q119" t="inlineStr">
        <is>
          <t>INCLUDED</t>
        </is>
      </c>
      <c r="R119" t="n">
        <v>-8</v>
      </c>
      <c r="S119" t="inlineStr">
        <is>
          <t>Fixed Stop Loss</t>
        </is>
      </c>
      <c r="T119" t="n">
        <v>0.6137</v>
      </c>
      <c r="U119" t="inlineStr"/>
      <c r="V119" t="inlineStr">
        <is>
          <t>2026-01-21</t>
        </is>
      </c>
      <c r="W119" t="inlineStr">
        <is>
          <t>Between R1 and S1</t>
        </is>
      </c>
      <c r="X119" t="n">
        <v>25197.08</v>
      </c>
      <c r="Y119" t="n">
        <v>25487.88</v>
      </c>
      <c r="Z119" t="n">
        <v>25074.23</v>
      </c>
      <c r="AA119" t="n">
        <v>25743.27</v>
      </c>
      <c r="AB119" t="n">
        <v>24915.97</v>
      </c>
      <c r="AC119" t="n">
        <v>25901.53</v>
      </c>
      <c r="AD119" t="n">
        <v>24660.58</v>
      </c>
    </row>
    <row r="120">
      <c r="A120">
        <f>HYPERLINK("../../data/JAN27_DYNAMIC/JAN22/OTM/NIFTY26JAN25250CE_strategy.csv", "NIFTY26JAN25250CE")</f>
        <v/>
      </c>
      <c r="B120" t="inlineStr">
        <is>
          <t>CE</t>
        </is>
      </c>
      <c r="C120" t="inlineStr">
        <is>
          <t>12:46:01</t>
        </is>
      </c>
      <c r="D120" t="inlineStr">
        <is>
          <t>12:47:00</t>
        </is>
      </c>
      <c r="E120" t="n">
        <v>151.35</v>
      </c>
      <c r="F120" t="n">
        <v>141.51</v>
      </c>
      <c r="G120" t="n">
        <v>68000.96000000001</v>
      </c>
      <c r="H120" t="n">
        <v>100000</v>
      </c>
      <c r="I120" t="n">
        <v>70000</v>
      </c>
      <c r="J120" t="inlineStr">
        <is>
          <t>EXECUTED</t>
        </is>
      </c>
      <c r="K120" t="n">
        <v>0</v>
      </c>
      <c r="L120" t="n">
        <v>-13.45</v>
      </c>
      <c r="M120">
        <f>HYPERLINK("../../data/JAN27_DYNAMIC/JAN22/OTM/NIFTY26JAN25250CE_strategy.html", "View")</f>
        <v/>
      </c>
      <c r="N120" t="inlineStr"/>
      <c r="O120" t="inlineStr"/>
      <c r="P120" t="inlineStr">
        <is>
          <t>BULLISH</t>
        </is>
      </c>
      <c r="Q120" t="inlineStr">
        <is>
          <t>INCLUDED (HYBRID_v5_BULLISH_CE)</t>
        </is>
      </c>
      <c r="R120" t="n">
        <v>-6.5</v>
      </c>
      <c r="S120" t="inlineStr">
        <is>
          <t>Fixed Stop Loss</t>
        </is>
      </c>
      <c r="T120" t="n">
        <v>0.4266</v>
      </c>
      <c r="U120" t="inlineStr"/>
      <c r="V120" t="inlineStr">
        <is>
          <t>2026-01-22</t>
        </is>
      </c>
      <c r="W120" t="inlineStr">
        <is>
          <t>Between R1 and S1</t>
        </is>
      </c>
      <c r="X120" t="n">
        <v>25247.16</v>
      </c>
      <c r="Y120" t="n">
        <v>25332.37</v>
      </c>
      <c r="Z120" t="n">
        <v>24951.22</v>
      </c>
      <c r="AA120" t="n">
        <v>25507.23</v>
      </c>
      <c r="AB120" t="n">
        <v>24744.93</v>
      </c>
      <c r="AC120" t="n">
        <v>25713.52</v>
      </c>
      <c r="AD120" t="n">
        <v>24570.07</v>
      </c>
    </row>
    <row r="121">
      <c r="A121">
        <f>HYPERLINK("../../data/JAN27_DYNAMIC/JAN22/OTM/NIFTY26JAN25200PE_strategy.csv", "NIFTY26JAN25200PE")</f>
        <v/>
      </c>
      <c r="B121" t="inlineStr">
        <is>
          <t>PE</t>
        </is>
      </c>
      <c r="C121" t="inlineStr">
        <is>
          <t>12:26:01</t>
        </is>
      </c>
      <c r="D121" t="inlineStr">
        <is>
          <t>12:27:00</t>
        </is>
      </c>
      <c r="E121" t="n">
        <v>114.6</v>
      </c>
      <c r="F121" t="n">
        <v>105.43</v>
      </c>
      <c r="G121" t="n">
        <v>71681.75</v>
      </c>
      <c r="H121" t="n">
        <v>100000</v>
      </c>
      <c r="I121" t="n">
        <v>70000</v>
      </c>
      <c r="J121" t="inlineStr">
        <is>
          <t>EXECUTED</t>
        </is>
      </c>
      <c r="K121" t="n">
        <v>0</v>
      </c>
      <c r="L121" t="n">
        <v>-17.1</v>
      </c>
      <c r="M121">
        <f>HYPERLINK("../../data/JAN27_DYNAMIC/JAN22/OTM/NIFTY26JAN25200PE_strategy.html", "View")</f>
        <v/>
      </c>
      <c r="N121" t="inlineStr"/>
      <c r="O121" t="inlineStr"/>
      <c r="P121" t="inlineStr">
        <is>
          <t>NEUTRAL</t>
        </is>
      </c>
      <c r="Q121" t="inlineStr">
        <is>
          <t>INCLUDED</t>
        </is>
      </c>
      <c r="R121" t="n">
        <v>-8</v>
      </c>
      <c r="S121" t="inlineStr">
        <is>
          <t>Fixed Stop Loss</t>
        </is>
      </c>
      <c r="T121" t="n">
        <v>0.3938</v>
      </c>
      <c r="U121" t="inlineStr"/>
      <c r="V121" t="inlineStr">
        <is>
          <t>2026-01-22</t>
        </is>
      </c>
      <c r="W121" t="inlineStr">
        <is>
          <t>Between R1 and S1</t>
        </is>
      </c>
      <c r="X121" t="n">
        <v>25239.31</v>
      </c>
      <c r="Y121" t="n">
        <v>25332.37</v>
      </c>
      <c r="Z121" t="n">
        <v>24951.22</v>
      </c>
      <c r="AA121" t="n">
        <v>25507.23</v>
      </c>
      <c r="AB121" t="n">
        <v>24744.93</v>
      </c>
      <c r="AC121" t="n">
        <v>25713.52</v>
      </c>
      <c r="AD121" t="n">
        <v>24570.07</v>
      </c>
    </row>
    <row r="122">
      <c r="A122">
        <f>HYPERLINK("../../data/JAN27_DYNAMIC/JAN22/OTM/NIFTY26JAN25250CE_strategy.csv", "NIFTY26JAN25250CE")</f>
        <v/>
      </c>
      <c r="B122" t="inlineStr">
        <is>
          <t>CE</t>
        </is>
      </c>
      <c r="C122" t="inlineStr">
        <is>
          <t>12:05:01</t>
        </is>
      </c>
      <c r="D122" t="inlineStr">
        <is>
          <t>12:41:00</t>
        </is>
      </c>
      <c r="E122" t="n">
        <v>139.15</v>
      </c>
      <c r="F122" t="n">
        <v>141.18</v>
      </c>
      <c r="G122" t="n">
        <v>72728.3</v>
      </c>
      <c r="H122" t="n">
        <v>100000</v>
      </c>
      <c r="I122" t="n">
        <v>70000</v>
      </c>
      <c r="J122" t="inlineStr">
        <is>
          <t>EXECUTED</t>
        </is>
      </c>
      <c r="K122" t="n">
        <v>25.37</v>
      </c>
      <c r="L122" t="n">
        <v>-8.01</v>
      </c>
      <c r="M122">
        <f>HYPERLINK("../../data/JAN27_DYNAMIC/JAN22/OTM/NIFTY26JAN25250CE_strategy.html", "View")</f>
        <v/>
      </c>
      <c r="N122" t="inlineStr"/>
      <c r="O122" t="inlineStr"/>
      <c r="P122" t="inlineStr">
        <is>
          <t>NEUTRAL</t>
        </is>
      </c>
      <c r="Q122" t="inlineStr">
        <is>
          <t>INCLUDED</t>
        </is>
      </c>
      <c r="R122" t="n">
        <v>1.46</v>
      </c>
      <c r="S122" t="inlineStr">
        <is>
          <t>SuperTrend Stop Loss Exit</t>
        </is>
      </c>
      <c r="T122" t="n">
        <v>0.5848</v>
      </c>
      <c r="U122" t="n">
        <v>0.7248</v>
      </c>
      <c r="V122" t="inlineStr">
        <is>
          <t>2026-01-22</t>
        </is>
      </c>
      <c r="W122" t="inlineStr">
        <is>
          <t>Between R1 and S1</t>
        </is>
      </c>
      <c r="X122" t="n">
        <v>25213.14</v>
      </c>
      <c r="Y122" t="n">
        <v>25332.37</v>
      </c>
      <c r="Z122" t="n">
        <v>24951.22</v>
      </c>
      <c r="AA122" t="n">
        <v>25507.23</v>
      </c>
      <c r="AB122" t="n">
        <v>24744.93</v>
      </c>
      <c r="AC122" t="n">
        <v>25713.52</v>
      </c>
      <c r="AD122" t="n">
        <v>24570.07</v>
      </c>
    </row>
    <row r="123">
      <c r="A123">
        <f>HYPERLINK("../../data/JAN27_DYNAMIC/JAN22/OTM/NIFTY26JAN25250CE_strategy.csv", "NIFTY26JAN25250CE")</f>
        <v/>
      </c>
      <c r="B123" t="inlineStr">
        <is>
          <t>CE</t>
        </is>
      </c>
      <c r="C123" t="inlineStr">
        <is>
          <t>11:51:01</t>
        </is>
      </c>
      <c r="D123" t="inlineStr">
        <is>
          <t>11:56:00</t>
        </is>
      </c>
      <c r="E123" t="n">
        <v>142.5</v>
      </c>
      <c r="F123" t="n">
        <v>133.24</v>
      </c>
      <c r="G123" t="n">
        <v>72110.08</v>
      </c>
      <c r="H123" t="n">
        <v>100000</v>
      </c>
      <c r="I123" t="n">
        <v>70000</v>
      </c>
      <c r="J123" t="inlineStr">
        <is>
          <t>EXECUTED</t>
        </is>
      </c>
      <c r="K123" t="n">
        <v>0</v>
      </c>
      <c r="L123" t="n">
        <v>-13.75</v>
      </c>
      <c r="M123">
        <f>HYPERLINK("../../data/JAN27_DYNAMIC/JAN22/OTM/NIFTY26JAN25250CE_strategy.html", "View")</f>
        <v/>
      </c>
      <c r="N123" t="inlineStr"/>
      <c r="O123" t="inlineStr"/>
      <c r="P123" t="inlineStr">
        <is>
          <t>NEUTRAL</t>
        </is>
      </c>
      <c r="Q123" t="inlineStr">
        <is>
          <t>INCLUDED</t>
        </is>
      </c>
      <c r="R123" t="n">
        <v>-6.5</v>
      </c>
      <c r="S123" t="inlineStr">
        <is>
          <t>Fixed Stop Loss</t>
        </is>
      </c>
      <c r="T123" t="n">
        <v>0.3864</v>
      </c>
      <c r="U123" t="inlineStr"/>
      <c r="V123" t="inlineStr">
        <is>
          <t>2026-01-22</t>
        </is>
      </c>
      <c r="W123" t="inlineStr">
        <is>
          <t>Between R1 and S1</t>
        </is>
      </c>
      <c r="X123" t="n">
        <v>25218.33</v>
      </c>
      <c r="Y123" t="n">
        <v>25332.37</v>
      </c>
      <c r="Z123" t="n">
        <v>24951.22</v>
      </c>
      <c r="AA123" t="n">
        <v>25507.23</v>
      </c>
      <c r="AB123" t="n">
        <v>24744.93</v>
      </c>
      <c r="AC123" t="n">
        <v>25713.52</v>
      </c>
      <c r="AD123" t="n">
        <v>24570.07</v>
      </c>
    </row>
    <row r="124">
      <c r="A124">
        <f>HYPERLINK("../../data/JAN27_DYNAMIC/JAN22/OTM/NIFTY26JAN25250PE_strategy.csv", "NIFTY26JAN25250PE")</f>
        <v/>
      </c>
      <c r="B124" t="inlineStr">
        <is>
          <t>PE</t>
        </is>
      </c>
      <c r="C124" t="inlineStr">
        <is>
          <t>11:30:01</t>
        </is>
      </c>
      <c r="D124" t="inlineStr">
        <is>
          <t>12:06:00</t>
        </is>
      </c>
      <c r="E124" t="n">
        <v>130.25</v>
      </c>
      <c r="F124" t="n">
        <v>140.73</v>
      </c>
      <c r="G124" t="n">
        <v>77914.94</v>
      </c>
      <c r="H124" t="n">
        <v>100000</v>
      </c>
      <c r="I124" t="n">
        <v>70000</v>
      </c>
      <c r="J124" t="inlineStr">
        <is>
          <t>EXECUTED</t>
        </is>
      </c>
      <c r="K124" t="n">
        <v>32.28</v>
      </c>
      <c r="L124" t="n">
        <v>-13.44</v>
      </c>
      <c r="M124">
        <f>HYPERLINK("../../data/JAN27_DYNAMIC/JAN22/OTM/NIFTY26JAN25250PE_strategy.html", "View")</f>
        <v/>
      </c>
      <c r="N124" t="inlineStr"/>
      <c r="O124" t="inlineStr"/>
      <c r="P124" t="inlineStr">
        <is>
          <t>NEUTRAL</t>
        </is>
      </c>
      <c r="Q124" t="inlineStr">
        <is>
          <t>INCLUDED</t>
        </is>
      </c>
      <c r="R124" t="n">
        <v>8.050000000000001</v>
      </c>
      <c r="S124" t="inlineStr">
        <is>
          <t>SuperTrend Stop Loss Exit</t>
        </is>
      </c>
      <c r="T124" t="n">
        <v>0.3496</v>
      </c>
      <c r="U124" t="n">
        <v>0.3303</v>
      </c>
      <c r="V124" t="inlineStr">
        <is>
          <t>2026-01-22</t>
        </is>
      </c>
      <c r="W124" t="inlineStr">
        <is>
          <t>Between R1 and S1</t>
        </is>
      </c>
      <c r="X124" t="n">
        <v>25242.49</v>
      </c>
      <c r="Y124" t="n">
        <v>25332.37</v>
      </c>
      <c r="Z124" t="n">
        <v>24951.22</v>
      </c>
      <c r="AA124" t="n">
        <v>25507.23</v>
      </c>
      <c r="AB124" t="n">
        <v>24744.93</v>
      </c>
      <c r="AC124" t="n">
        <v>25713.52</v>
      </c>
      <c r="AD124" t="n">
        <v>24570.07</v>
      </c>
    </row>
    <row r="125">
      <c r="A125">
        <f>HYPERLINK("../../data/JAN27_DYNAMIC/JAN22/OTM/NIFTY26JAN25250CE_strategy.csv", "NIFTY26JAN25250CE")</f>
        <v/>
      </c>
      <c r="B125" t="inlineStr">
        <is>
          <t>CE</t>
        </is>
      </c>
      <c r="C125" t="inlineStr">
        <is>
          <t>11:22:01</t>
        </is>
      </c>
      <c r="D125" t="inlineStr">
        <is>
          <t>11:41:00</t>
        </is>
      </c>
      <c r="E125" t="n">
        <v>152.4</v>
      </c>
      <c r="F125" t="n">
        <v>146.14</v>
      </c>
      <c r="G125" t="n">
        <v>77123.08</v>
      </c>
      <c r="H125" t="n">
        <v>100000</v>
      </c>
      <c r="I125" t="n">
        <v>70000</v>
      </c>
      <c r="J125" t="inlineStr">
        <is>
          <t>EXECUTED</t>
        </is>
      </c>
      <c r="K125" t="n">
        <v>15.55</v>
      </c>
      <c r="L125" t="n">
        <v>-8.789999999999999</v>
      </c>
      <c r="M125">
        <f>HYPERLINK("../../data/JAN27_DYNAMIC/JAN22/OTM/NIFTY26JAN25250CE_strategy.html", "View")</f>
        <v/>
      </c>
      <c r="N125" t="inlineStr"/>
      <c r="O125" t="inlineStr"/>
      <c r="P125" t="inlineStr">
        <is>
          <t>NEUTRAL</t>
        </is>
      </c>
      <c r="Q125" t="inlineStr">
        <is>
          <t>INCLUDED</t>
        </is>
      </c>
      <c r="R125" t="n">
        <v>-4.11</v>
      </c>
      <c r="S125" t="inlineStr">
        <is>
          <t>SuperTrend Stop Loss Exit</t>
        </is>
      </c>
      <c r="T125" t="n">
        <v>0.6604</v>
      </c>
      <c r="U125" t="n">
        <v>0.7045</v>
      </c>
      <c r="V125" t="inlineStr">
        <is>
          <t>2026-01-22</t>
        </is>
      </c>
      <c r="W125" t="inlineStr">
        <is>
          <t>Between R1 and S1</t>
        </is>
      </c>
      <c r="X125" t="n">
        <v>25235.62</v>
      </c>
      <c r="Y125" t="n">
        <v>25332.37</v>
      </c>
      <c r="Z125" t="n">
        <v>24951.22</v>
      </c>
      <c r="AA125" t="n">
        <v>25507.23</v>
      </c>
      <c r="AB125" t="n">
        <v>24744.93</v>
      </c>
      <c r="AC125" t="n">
        <v>25713.52</v>
      </c>
      <c r="AD125" t="n">
        <v>24570.07</v>
      </c>
    </row>
    <row r="126">
      <c r="A126">
        <f>HYPERLINK("../../data/JAN27_DYNAMIC/JAN22/OTM/NIFTY26JAN25250CE_strategy.csv", "NIFTY26JAN25250CE")</f>
        <v/>
      </c>
      <c r="B126" t="inlineStr">
        <is>
          <t>CE</t>
        </is>
      </c>
      <c r="C126" t="inlineStr">
        <is>
          <t>11:11:01</t>
        </is>
      </c>
      <c r="D126" t="inlineStr">
        <is>
          <t>11:12:00</t>
        </is>
      </c>
      <c r="E126" t="n">
        <v>148</v>
      </c>
      <c r="F126" t="n">
        <v>138.38</v>
      </c>
      <c r="G126" t="n">
        <v>80428.7</v>
      </c>
      <c r="H126" t="n">
        <v>100000</v>
      </c>
      <c r="I126" t="n">
        <v>70000</v>
      </c>
      <c r="J126" t="inlineStr">
        <is>
          <t>EXECUTED</t>
        </is>
      </c>
      <c r="K126" t="n">
        <v>0</v>
      </c>
      <c r="L126" t="n">
        <v>-9.26</v>
      </c>
      <c r="M126">
        <f>HYPERLINK("../../data/JAN27_DYNAMIC/JAN22/OTM/NIFTY26JAN25250CE_strategy.html", "View")</f>
        <v/>
      </c>
      <c r="N126" t="inlineStr"/>
      <c r="O126" t="inlineStr"/>
      <c r="P126" t="inlineStr">
        <is>
          <t>NEUTRAL</t>
        </is>
      </c>
      <c r="Q126" t="inlineStr">
        <is>
          <t>INCLUDED</t>
        </is>
      </c>
      <c r="R126" t="n">
        <v>-6.5</v>
      </c>
      <c r="S126" t="inlineStr">
        <is>
          <t>Fixed Stop Loss</t>
        </is>
      </c>
      <c r="T126" t="n">
        <v>0.315</v>
      </c>
      <c r="U126" t="inlineStr"/>
      <c r="V126" t="inlineStr">
        <is>
          <t>2026-01-22</t>
        </is>
      </c>
      <c r="W126" t="inlineStr">
        <is>
          <t>Between R1 and S1</t>
        </is>
      </c>
      <c r="X126" t="n">
        <v>25226.83</v>
      </c>
      <c r="Y126" t="n">
        <v>25332.37</v>
      </c>
      <c r="Z126" t="n">
        <v>24951.22</v>
      </c>
      <c r="AA126" t="n">
        <v>25507.23</v>
      </c>
      <c r="AB126" t="n">
        <v>24744.93</v>
      </c>
      <c r="AC126" t="n">
        <v>25713.52</v>
      </c>
      <c r="AD126" t="n">
        <v>24570.07</v>
      </c>
    </row>
    <row r="127">
      <c r="A127">
        <f>HYPERLINK("../../data/JAN27_DYNAMIC/JAN23/OTM/NIFTY26JAN25200PE_strategy.csv", "NIFTY26JAN25200PE")</f>
        <v/>
      </c>
      <c r="B127" t="inlineStr">
        <is>
          <t>PE</t>
        </is>
      </c>
      <c r="C127" t="inlineStr">
        <is>
          <t>12:48:01</t>
        </is>
      </c>
      <c r="D127" t="inlineStr">
        <is>
          <t>12:54:00</t>
        </is>
      </c>
      <c r="E127" t="n">
        <v>78.59999999999999</v>
      </c>
      <c r="F127" t="n">
        <v>72.31</v>
      </c>
      <c r="G127" t="n">
        <v>89107.69</v>
      </c>
      <c r="H127" t="n">
        <v>114433.11</v>
      </c>
      <c r="I127" t="n">
        <v>80103.17999999999</v>
      </c>
      <c r="J127" t="inlineStr">
        <is>
          <t>EXECUTED</t>
        </is>
      </c>
      <c r="K127" t="n">
        <v>6.36</v>
      </c>
      <c r="L127" t="n">
        <v>-18.19</v>
      </c>
      <c r="M127">
        <f>HYPERLINK("../../data/JAN27_DYNAMIC/JAN23/OTM/NIFTY26JAN25200PE_strategy.html", "View")</f>
        <v/>
      </c>
      <c r="N127" t="inlineStr"/>
      <c r="O127" t="inlineStr"/>
      <c r="P127" t="inlineStr">
        <is>
          <t>NEUTRAL</t>
        </is>
      </c>
      <c r="Q127" t="inlineStr">
        <is>
          <t>INCLUDED</t>
        </is>
      </c>
      <c r="R127" t="n">
        <v>-8</v>
      </c>
      <c r="S127" t="inlineStr">
        <is>
          <t>Fixed Stop Loss</t>
        </is>
      </c>
      <c r="T127" t="n">
        <v>0.393</v>
      </c>
      <c r="U127" t="inlineStr"/>
      <c r="V127" t="inlineStr">
        <is>
          <t>2026-01-23</t>
        </is>
      </c>
      <c r="W127" t="inlineStr">
        <is>
          <t>Between R1 and S1</t>
        </is>
      </c>
      <c r="X127" t="n">
        <v>25215.56</v>
      </c>
      <c r="Y127" t="n">
        <v>25427.6</v>
      </c>
      <c r="Z127" t="n">
        <v>25160.35</v>
      </c>
      <c r="AA127" t="n">
        <v>25565.3</v>
      </c>
      <c r="AB127" t="n">
        <v>25030.8</v>
      </c>
      <c r="AC127" t="n">
        <v>25694.85</v>
      </c>
      <c r="AD127" t="n">
        <v>24893.1</v>
      </c>
    </row>
    <row r="128">
      <c r="A128">
        <f>HYPERLINK("../../data/JAN27_DYNAMIC/JAN23/OTM/NIFTY26JAN25200PE_strategy.csv", "NIFTY26JAN25200PE")</f>
        <v/>
      </c>
      <c r="B128" t="inlineStr">
        <is>
          <t>PE</t>
        </is>
      </c>
      <c r="C128" t="inlineStr">
        <is>
          <t>12:32:01</t>
        </is>
      </c>
      <c r="D128" t="inlineStr">
        <is>
          <t>12:33:00</t>
        </is>
      </c>
      <c r="E128" t="n">
        <v>89.90000000000001</v>
      </c>
      <c r="F128" t="n">
        <v>82.70999999999999</v>
      </c>
      <c r="G128" t="n">
        <v>96856.17999999999</v>
      </c>
      <c r="H128" t="n">
        <v>114433.11</v>
      </c>
      <c r="I128" t="n">
        <v>80103.17999999999</v>
      </c>
      <c r="J128" t="inlineStr">
        <is>
          <t>EXECUTED</t>
        </is>
      </c>
      <c r="K128" t="n">
        <v>0</v>
      </c>
      <c r="L128" t="n">
        <v>-9.73</v>
      </c>
      <c r="M128">
        <f>HYPERLINK("../../data/JAN27_DYNAMIC/JAN23/OTM/NIFTY26JAN25200PE_strategy.html", "View")</f>
        <v/>
      </c>
      <c r="N128" t="inlineStr"/>
      <c r="O128" t="inlineStr"/>
      <c r="P128" t="inlineStr">
        <is>
          <t>BEARISH</t>
        </is>
      </c>
      <c r="Q128" t="inlineStr">
        <is>
          <t>INCLUDED (HYBRID_v5_BEARISH_PE)</t>
        </is>
      </c>
      <c r="R128" t="n">
        <v>-8</v>
      </c>
      <c r="S128" t="inlineStr">
        <is>
          <t>Fixed Stop Loss</t>
        </is>
      </c>
      <c r="T128" t="n">
        <v>0.462</v>
      </c>
      <c r="U128" t="inlineStr"/>
      <c r="V128" t="inlineStr">
        <is>
          <t>2026-01-23</t>
        </is>
      </c>
      <c r="W128" t="inlineStr">
        <is>
          <t>Between R1 and S1</t>
        </is>
      </c>
      <c r="X128" t="n">
        <v>25205.16</v>
      </c>
      <c r="Y128" t="n">
        <v>25427.6</v>
      </c>
      <c r="Z128" t="n">
        <v>25160.35</v>
      </c>
      <c r="AA128" t="n">
        <v>25565.3</v>
      </c>
      <c r="AB128" t="n">
        <v>25030.8</v>
      </c>
      <c r="AC128" t="n">
        <v>25694.85</v>
      </c>
      <c r="AD128" t="n">
        <v>24893.1</v>
      </c>
    </row>
    <row r="129">
      <c r="A129">
        <f>HYPERLINK("../../data/JAN27_DYNAMIC/JAN23/OTM/NIFTY26JAN25200PE_strategy.csv", "NIFTY26JAN25200PE")</f>
        <v/>
      </c>
      <c r="B129" t="inlineStr">
        <is>
          <t>PE</t>
        </is>
      </c>
      <c r="C129" t="inlineStr">
        <is>
          <t>12:27:01</t>
        </is>
      </c>
      <c r="D129" t="inlineStr">
        <is>
          <t>12:28:00</t>
        </is>
      </c>
      <c r="E129" t="n">
        <v>92.25</v>
      </c>
      <c r="F129" t="n">
        <v>84.87</v>
      </c>
      <c r="G129" t="n">
        <v>105278.46</v>
      </c>
      <c r="H129" t="n">
        <v>114433.11</v>
      </c>
      <c r="I129" t="n">
        <v>80103.17999999999</v>
      </c>
      <c r="J129" t="inlineStr">
        <is>
          <t>EXECUTED</t>
        </is>
      </c>
      <c r="K129" t="n">
        <v>0</v>
      </c>
      <c r="L129" t="n">
        <v>-8.02</v>
      </c>
      <c r="M129">
        <f>HYPERLINK("../../data/JAN27_DYNAMIC/JAN23/OTM/NIFTY26JAN25200PE_strategy.html", "View")</f>
        <v/>
      </c>
      <c r="N129" t="inlineStr"/>
      <c r="O129" t="inlineStr"/>
      <c r="P129" t="inlineStr">
        <is>
          <t>BEARISH</t>
        </is>
      </c>
      <c r="Q129" t="inlineStr">
        <is>
          <t>INCLUDED (HYBRID_v5_BEARISH_PE)</t>
        </is>
      </c>
      <c r="R129" t="n">
        <v>-8</v>
      </c>
      <c r="S129" t="inlineStr">
        <is>
          <t>Fixed Stop Loss</t>
        </is>
      </c>
      <c r="T129" t="n">
        <v>0.3903</v>
      </c>
      <c r="U129" t="inlineStr"/>
      <c r="V129" t="inlineStr">
        <is>
          <t>2026-01-23</t>
        </is>
      </c>
      <c r="W129" t="inlineStr">
        <is>
          <t>Between R1 and S1</t>
        </is>
      </c>
      <c r="X129" t="n">
        <v>25199.86</v>
      </c>
      <c r="Y129" t="n">
        <v>25427.6</v>
      </c>
      <c r="Z129" t="n">
        <v>25160.35</v>
      </c>
      <c r="AA129" t="n">
        <v>25565.3</v>
      </c>
      <c r="AB129" t="n">
        <v>25030.8</v>
      </c>
      <c r="AC129" t="n">
        <v>25694.85</v>
      </c>
      <c r="AD129" t="n">
        <v>24893.1</v>
      </c>
    </row>
    <row r="130">
      <c r="A130">
        <f>HYPERLINK("../../data/JAN27_DYNAMIC/JAN23/OTM/NIFTY26JAN25250PE_strategy.csv", "NIFTY26JAN25250PE")</f>
        <v/>
      </c>
      <c r="B130" t="inlineStr">
        <is>
          <t>PE</t>
        </is>
      </c>
      <c r="C130" t="inlineStr">
        <is>
          <t>11:15:01</t>
        </is>
      </c>
      <c r="D130" t="inlineStr">
        <is>
          <t>12:07:00</t>
        </is>
      </c>
      <c r="E130" t="n">
        <v>79.65000000000001</v>
      </c>
      <c r="F130" t="n">
        <v>121.2</v>
      </c>
      <c r="G130" t="n">
        <v>114433.11</v>
      </c>
      <c r="H130" t="n">
        <v>114433.11</v>
      </c>
      <c r="I130" t="n">
        <v>80103.17999999999</v>
      </c>
      <c r="J130" t="inlineStr">
        <is>
          <t>EXECUTED</t>
        </is>
      </c>
      <c r="K130" t="n">
        <v>67.61</v>
      </c>
      <c r="L130" t="n">
        <v>-6.78</v>
      </c>
      <c r="M130">
        <f>HYPERLINK("../../data/JAN27_DYNAMIC/JAN23/OTM/NIFTY26JAN25250PE_strategy.html", "View")</f>
        <v/>
      </c>
      <c r="N130" t="inlineStr"/>
      <c r="O130" t="inlineStr"/>
      <c r="P130" t="inlineStr">
        <is>
          <t>NEUTRAL</t>
        </is>
      </c>
      <c r="Q130" t="inlineStr">
        <is>
          <t>INCLUDED</t>
        </is>
      </c>
      <c r="R130" t="n">
        <v>52.17</v>
      </c>
      <c r="S130" t="inlineStr">
        <is>
          <t>Dynamic Trailing MA (Fast/Slow MA)</t>
        </is>
      </c>
      <c r="T130" t="n">
        <v>0.4873</v>
      </c>
      <c r="U130" t="n">
        <v>0.457</v>
      </c>
      <c r="V130" t="inlineStr">
        <is>
          <t>2026-01-23</t>
        </is>
      </c>
      <c r="W130" t="inlineStr">
        <is>
          <t>Between R1 and S1</t>
        </is>
      </c>
      <c r="X130" t="n">
        <v>25282.59</v>
      </c>
      <c r="Y130" t="n">
        <v>25427.6</v>
      </c>
      <c r="Z130" t="n">
        <v>25160.35</v>
      </c>
      <c r="AA130" t="n">
        <v>25565.3</v>
      </c>
      <c r="AB130" t="n">
        <v>25030.8</v>
      </c>
      <c r="AC130" t="n">
        <v>25694.85</v>
      </c>
      <c r="AD130" t="n">
        <v>24893.1</v>
      </c>
    </row>
    <row r="131">
      <c r="A131">
        <f>HYPERLINK("../../data/JAN27_DYNAMIC/JAN23/OTM/NIFTY26JAN25300CE_strategy.csv", "NIFTY26JAN25300CE")</f>
        <v/>
      </c>
      <c r="B131" t="inlineStr">
        <is>
          <t>CE</t>
        </is>
      </c>
      <c r="C131" t="inlineStr">
        <is>
          <t>11:12:01</t>
        </is>
      </c>
      <c r="D131" t="inlineStr">
        <is>
          <t>11:18:00</t>
        </is>
      </c>
      <c r="E131" t="n">
        <v>110.8</v>
      </c>
      <c r="F131" t="n">
        <v>101.94</v>
      </c>
      <c r="G131" t="n">
        <v>75200.83</v>
      </c>
      <c r="H131" t="n">
        <v>100000</v>
      </c>
      <c r="I131" t="n">
        <v>70000</v>
      </c>
      <c r="J131" t="inlineStr">
        <is>
          <t>EXECUTED</t>
        </is>
      </c>
      <c r="K131" t="n">
        <v>6.81</v>
      </c>
      <c r="L131" t="n">
        <v>-6.36</v>
      </c>
      <c r="M131">
        <f>HYPERLINK("../../data/JAN27_DYNAMIC/JAN23/OTM/NIFTY26JAN25300CE_strategy.html", "View")</f>
        <v/>
      </c>
      <c r="N131" t="inlineStr"/>
      <c r="O131" t="inlineStr"/>
      <c r="P131" t="inlineStr">
        <is>
          <t>NEUTRAL</t>
        </is>
      </c>
      <c r="Q131" t="inlineStr">
        <is>
          <t>INCLUDED</t>
        </is>
      </c>
      <c r="R131" t="n">
        <v>-8</v>
      </c>
      <c r="S131" t="inlineStr">
        <is>
          <t>Fixed Stop Loss</t>
        </is>
      </c>
      <c r="T131" t="n">
        <v>0.5916</v>
      </c>
      <c r="U131" t="inlineStr"/>
      <c r="V131" t="inlineStr">
        <is>
          <t>2026-01-23</t>
        </is>
      </c>
      <c r="W131" t="inlineStr">
        <is>
          <t>Between R1 and S1</t>
        </is>
      </c>
      <c r="X131" t="n">
        <v>25286.21</v>
      </c>
      <c r="Y131" t="n">
        <v>25427.6</v>
      </c>
      <c r="Z131" t="n">
        <v>25160.35</v>
      </c>
      <c r="AA131" t="n">
        <v>25565.3</v>
      </c>
      <c r="AB131" t="n">
        <v>25030.8</v>
      </c>
      <c r="AC131" t="n">
        <v>25694.85</v>
      </c>
      <c r="AD131" t="n">
        <v>24893.1</v>
      </c>
    </row>
    <row r="132">
      <c r="A132">
        <f>HYPERLINK("../../data/JAN27_DYNAMIC/JAN23/OTM/NIFTY26JAN25300CE_strategy.csv", "NIFTY26JAN25300CE")</f>
        <v/>
      </c>
      <c r="B132" t="inlineStr">
        <is>
          <t>CE</t>
        </is>
      </c>
      <c r="C132" t="inlineStr">
        <is>
          <t>09:59:01</t>
        </is>
      </c>
      <c r="D132" t="inlineStr">
        <is>
          <t>10:01:00</t>
        </is>
      </c>
      <c r="E132" t="n">
        <v>128.25</v>
      </c>
      <c r="F132" t="n">
        <v>119.91</v>
      </c>
      <c r="G132" t="n">
        <v>81740.03999999999</v>
      </c>
      <c r="H132" t="n">
        <v>100000</v>
      </c>
      <c r="I132" t="n">
        <v>70000</v>
      </c>
      <c r="J132" t="inlineStr">
        <is>
          <t>EXECUTED</t>
        </is>
      </c>
      <c r="K132" t="n">
        <v>4.41</v>
      </c>
      <c r="L132" t="n">
        <v>-6.67</v>
      </c>
      <c r="M132">
        <f>HYPERLINK("../../data/JAN27_DYNAMIC/JAN23/OTM/NIFTY26JAN25300CE_strategy.html", "View")</f>
        <v/>
      </c>
      <c r="N132" t="inlineStr"/>
      <c r="O132" t="inlineStr"/>
      <c r="P132" t="inlineStr">
        <is>
          <t>NEUTRAL</t>
        </is>
      </c>
      <c r="Q132" t="inlineStr">
        <is>
          <t>INCLUDED</t>
        </is>
      </c>
      <c r="R132" t="n">
        <v>-6.5</v>
      </c>
      <c r="S132" t="inlineStr">
        <is>
          <t>Fixed Stop Loss</t>
        </is>
      </c>
      <c r="T132" t="n">
        <v>0.5871</v>
      </c>
      <c r="U132" t="inlineStr"/>
      <c r="V132" t="inlineStr">
        <is>
          <t>2026-01-23</t>
        </is>
      </c>
      <c r="W132" t="inlineStr">
        <is>
          <t>Between R1 and S1</t>
        </is>
      </c>
      <c r="X132" t="n">
        <v>25294.21</v>
      </c>
      <c r="Y132" t="n">
        <v>25427.6</v>
      </c>
      <c r="Z132" t="n">
        <v>25160.35</v>
      </c>
      <c r="AA132" t="n">
        <v>25565.3</v>
      </c>
      <c r="AB132" t="n">
        <v>25030.8</v>
      </c>
      <c r="AC132" t="n">
        <v>25694.85</v>
      </c>
      <c r="AD132" t="n">
        <v>24893.1</v>
      </c>
    </row>
    <row r="133">
      <c r="A133">
        <f>HYPERLINK("../../data/JAN27_DYNAMIC/JAN23/OTM/NIFTY26JAN25300CE_strategy.csv", "NIFTY26JAN25300CE")</f>
        <v/>
      </c>
      <c r="B133" t="inlineStr">
        <is>
          <t>CE</t>
        </is>
      </c>
      <c r="C133" t="inlineStr">
        <is>
          <t>09:48:01</t>
        </is>
      </c>
      <c r="D133" t="inlineStr">
        <is>
          <t>09:50:00</t>
        </is>
      </c>
      <c r="E133" t="n">
        <v>135.6</v>
      </c>
      <c r="F133" t="n">
        <v>126.79</v>
      </c>
      <c r="G133" t="n">
        <v>87422.5</v>
      </c>
      <c r="H133" t="n">
        <v>100000</v>
      </c>
      <c r="I133" t="n">
        <v>70000</v>
      </c>
      <c r="J133" t="inlineStr">
        <is>
          <t>EXECUTED</t>
        </is>
      </c>
      <c r="K133" t="n">
        <v>0</v>
      </c>
      <c r="L133" t="n">
        <v>-14.09</v>
      </c>
      <c r="M133">
        <f>HYPERLINK("../../data/JAN27_DYNAMIC/JAN23/OTM/NIFTY26JAN25300CE_strategy.html", "View")</f>
        <v/>
      </c>
      <c r="N133" t="inlineStr"/>
      <c r="O133" t="inlineStr"/>
      <c r="P133" t="inlineStr">
        <is>
          <t>NEUTRAL</t>
        </is>
      </c>
      <c r="Q133" t="inlineStr">
        <is>
          <t>INCLUDED</t>
        </is>
      </c>
      <c r="R133" t="n">
        <v>-6.5</v>
      </c>
      <c r="S133" t="inlineStr">
        <is>
          <t>Fixed Stop Loss</t>
        </is>
      </c>
      <c r="T133" t="n">
        <v>0.4712</v>
      </c>
      <c r="U133" t="inlineStr"/>
      <c r="V133" t="inlineStr">
        <is>
          <t>2026-01-23</t>
        </is>
      </c>
      <c r="W133" t="inlineStr">
        <is>
          <t>Between R1 and S1</t>
        </is>
      </c>
      <c r="X133" t="n">
        <v>25303.79</v>
      </c>
      <c r="Y133" t="n">
        <v>25427.6</v>
      </c>
      <c r="Z133" t="n">
        <v>25160.35</v>
      </c>
      <c r="AA133" t="n">
        <v>25565.3</v>
      </c>
      <c r="AB133" t="n">
        <v>25030.8</v>
      </c>
      <c r="AC133" t="n">
        <v>25694.85</v>
      </c>
      <c r="AD133" t="n">
        <v>24893.1</v>
      </c>
    </row>
    <row r="134">
      <c r="A134">
        <f>HYPERLINK("../../data/JAN27_DYNAMIC/JAN23/OTM/NIFTY26JAN25350CE_strategy.csv", "NIFTY26JAN25350CE")</f>
        <v/>
      </c>
      <c r="B134" t="inlineStr">
        <is>
          <t>CE</t>
        </is>
      </c>
      <c r="C134" t="inlineStr">
        <is>
          <t>09:26:01</t>
        </is>
      </c>
      <c r="D134" t="inlineStr">
        <is>
          <t>09:27:00</t>
        </is>
      </c>
      <c r="E134" t="n">
        <v>126.4</v>
      </c>
      <c r="F134" t="n">
        <v>118.18</v>
      </c>
      <c r="G134" t="n">
        <v>93500</v>
      </c>
      <c r="H134" t="n">
        <v>100000</v>
      </c>
      <c r="I134" t="n">
        <v>70000</v>
      </c>
      <c r="J134" t="inlineStr">
        <is>
          <t>EXECUTED</t>
        </is>
      </c>
      <c r="K134" t="n">
        <v>0</v>
      </c>
      <c r="L134" t="n">
        <v>-21.24</v>
      </c>
      <c r="M134">
        <f>HYPERLINK("../../data/JAN27_DYNAMIC/JAN23/OTM/NIFTY26JAN25350CE_strategy.html", "View")</f>
        <v/>
      </c>
      <c r="N134" t="inlineStr"/>
      <c r="O134" t="inlineStr"/>
      <c r="P134" t="inlineStr">
        <is>
          <t>BULLISH</t>
        </is>
      </c>
      <c r="Q134" t="inlineStr">
        <is>
          <t>INCLUDED (HYBRID_v5_BULLISH_CE)</t>
        </is>
      </c>
      <c r="R134" t="n">
        <v>-6.5</v>
      </c>
      <c r="S134" t="inlineStr">
        <is>
          <t>Fixed Stop Loss</t>
        </is>
      </c>
      <c r="T134" t="n">
        <v>0.4584</v>
      </c>
      <c r="U134" t="inlineStr"/>
      <c r="V134" t="inlineStr">
        <is>
          <t>2026-01-23</t>
        </is>
      </c>
      <c r="W134" t="inlineStr">
        <is>
          <t>Between R1 and S1</t>
        </is>
      </c>
      <c r="X134" t="n">
        <v>25330.88</v>
      </c>
      <c r="Y134" t="n">
        <v>25427.6</v>
      </c>
      <c r="Z134" t="n">
        <v>25160.35</v>
      </c>
      <c r="AA134" t="n">
        <v>25565.3</v>
      </c>
      <c r="AB134" t="n">
        <v>25030.8</v>
      </c>
      <c r="AC134" t="n">
        <v>25694.85</v>
      </c>
      <c r="AD134" t="n">
        <v>24893.1</v>
      </c>
    </row>
    <row r="135">
      <c r="A135">
        <f>HYPERLINK("../../data/FEB03_DYNAMIC/JAN28/OTM/NIFTY2620325200PE_strategy.csv", "NIFTY2620325200PE")</f>
        <v/>
      </c>
      <c r="B135" t="inlineStr">
        <is>
          <t>PE</t>
        </is>
      </c>
      <c r="C135" t="inlineStr">
        <is>
          <t>14:35:01</t>
        </is>
      </c>
      <c r="D135" t="inlineStr">
        <is>
          <t>14:40:00</t>
        </is>
      </c>
      <c r="E135" t="n">
        <v>189.45</v>
      </c>
      <c r="F135" t="n">
        <v>177.14</v>
      </c>
      <c r="G135" t="n">
        <v>95052.91</v>
      </c>
      <c r="H135" t="n">
        <v>102326.4</v>
      </c>
      <c r="I135" t="n">
        <v>71628.48</v>
      </c>
      <c r="J135" t="inlineStr">
        <is>
          <t>EXECUTED</t>
        </is>
      </c>
      <c r="K135" t="n">
        <v>0.77</v>
      </c>
      <c r="L135" t="n">
        <v>-10.45</v>
      </c>
      <c r="M135">
        <f>HYPERLINK("../../data/FEB03_DYNAMIC/JAN28/OTM/NIFTY2620325200PE_strategy.html", "View")</f>
        <v/>
      </c>
      <c r="N135" t="inlineStr"/>
      <c r="O135" t="inlineStr"/>
      <c r="P135" t="inlineStr">
        <is>
          <t>NEUTRAL</t>
        </is>
      </c>
      <c r="Q135" t="inlineStr">
        <is>
          <t>INCLUDED</t>
        </is>
      </c>
      <c r="R135" t="n">
        <v>-6.5</v>
      </c>
      <c r="S135" t="inlineStr">
        <is>
          <t>Fixed Stop Loss</t>
        </is>
      </c>
      <c r="T135" t="n">
        <v>0.4636</v>
      </c>
      <c r="U135" t="inlineStr"/>
      <c r="V135" t="inlineStr">
        <is>
          <t>2026-01-28</t>
        </is>
      </c>
      <c r="W135" t="inlineStr">
        <is>
          <t>Between R1 and S1</t>
        </is>
      </c>
      <c r="X135" t="n">
        <v>25227.53</v>
      </c>
      <c r="Y135" t="n">
        <v>25303.85</v>
      </c>
      <c r="Z135" t="n">
        <v>24989.75</v>
      </c>
      <c r="AA135" t="n">
        <v>25432.3</v>
      </c>
      <c r="AB135" t="n">
        <v>24804.1</v>
      </c>
      <c r="AC135" t="n">
        <v>25617.95</v>
      </c>
      <c r="AD135" t="n">
        <v>24675.65</v>
      </c>
    </row>
    <row r="136">
      <c r="A136">
        <f>HYPERLINK("../../data/FEB03_DYNAMIC/JAN28/OTM/NIFTY2620325250CE_strategy.csv", "NIFTY2620325250CE")</f>
        <v/>
      </c>
      <c r="B136" t="inlineStr">
        <is>
          <t>CE</t>
        </is>
      </c>
      <c r="C136" t="inlineStr">
        <is>
          <t>13:55:01</t>
        </is>
      </c>
      <c r="D136" t="inlineStr">
        <is>
          <t>14:42:00</t>
        </is>
      </c>
      <c r="E136" t="n">
        <v>211.5</v>
      </c>
      <c r="F136" t="n">
        <v>219.1</v>
      </c>
      <c r="G136" t="n">
        <v>98465.31</v>
      </c>
      <c r="H136" t="n">
        <v>102326.4</v>
      </c>
      <c r="I136" t="n">
        <v>71628.48</v>
      </c>
      <c r="J136" t="inlineStr">
        <is>
          <t>EXECUTED</t>
        </is>
      </c>
      <c r="K136" t="n">
        <v>7.38</v>
      </c>
      <c r="L136" t="n">
        <v>-5.65</v>
      </c>
      <c r="M136">
        <f>HYPERLINK("../../data/FEB03_DYNAMIC/JAN28/OTM/NIFTY2620325250CE_strategy.html", "View")</f>
        <v/>
      </c>
      <c r="N136" t="inlineStr"/>
      <c r="O136" t="inlineStr"/>
      <c r="P136" t="inlineStr">
        <is>
          <t>NEUTRAL</t>
        </is>
      </c>
      <c r="Q136" t="inlineStr">
        <is>
          <t>INCLUDED</t>
        </is>
      </c>
      <c r="R136" t="n">
        <v>3.59</v>
      </c>
      <c r="S136" t="inlineStr">
        <is>
          <t>Dynamic Trailing MA (Fast/Slow MA)</t>
        </is>
      </c>
      <c r="T136" t="n">
        <v>0.3333</v>
      </c>
      <c r="U136" t="n">
        <v>0.8105</v>
      </c>
      <c r="V136" t="inlineStr">
        <is>
          <t>2026-01-28</t>
        </is>
      </c>
      <c r="W136" t="inlineStr">
        <is>
          <t>Between R1 and S1</t>
        </is>
      </c>
      <c r="X136" t="n">
        <v>25221.28</v>
      </c>
      <c r="Y136" t="n">
        <v>25303.85</v>
      </c>
      <c r="Z136" t="n">
        <v>24989.75</v>
      </c>
      <c r="AA136" t="n">
        <v>25432.3</v>
      </c>
      <c r="AB136" t="n">
        <v>24804.1</v>
      </c>
      <c r="AC136" t="n">
        <v>25617.95</v>
      </c>
      <c r="AD136" t="n">
        <v>24675.65</v>
      </c>
    </row>
    <row r="137">
      <c r="A137">
        <f>HYPERLINK("../../data/FEB03_DYNAMIC/JAN28/OTM/NIFTY2620325250PE_strategy.csv", "NIFTY2620325250PE")</f>
        <v/>
      </c>
      <c r="B137" t="inlineStr">
        <is>
          <t>PE</t>
        </is>
      </c>
      <c r="C137" t="inlineStr">
        <is>
          <t>13:22:01</t>
        </is>
      </c>
      <c r="D137" t="inlineStr">
        <is>
          <t>13:55:00</t>
        </is>
      </c>
      <c r="E137" t="n">
        <v>194.4</v>
      </c>
      <c r="F137" t="n">
        <v>212.67</v>
      </c>
      <c r="G137" t="n">
        <v>101660.87</v>
      </c>
      <c r="H137" t="n">
        <v>102326.4</v>
      </c>
      <c r="I137" t="n">
        <v>71628.48</v>
      </c>
      <c r="J137" t="inlineStr">
        <is>
          <t>EXECUTED</t>
        </is>
      </c>
      <c r="K137" t="n">
        <v>23.46</v>
      </c>
      <c r="L137" t="n">
        <v>-10.91</v>
      </c>
      <c r="M137">
        <f>HYPERLINK("../../data/FEB03_DYNAMIC/JAN28/OTM/NIFTY2620325250PE_strategy.html", "View")</f>
        <v/>
      </c>
      <c r="N137" t="inlineStr"/>
      <c r="O137" t="inlineStr"/>
      <c r="P137" t="inlineStr">
        <is>
          <t>BEARISH</t>
        </is>
      </c>
      <c r="Q137" t="inlineStr">
        <is>
          <t>INCLUDED (HYBRID_v5_BEARISH_PE)</t>
        </is>
      </c>
      <c r="R137" t="n">
        <v>9.4</v>
      </c>
      <c r="S137" t="inlineStr">
        <is>
          <t>SuperTrend Stop Loss Exit</t>
        </is>
      </c>
      <c r="T137" t="n">
        <v>0.6792</v>
      </c>
      <c r="U137" t="n">
        <v>0.71</v>
      </c>
      <c r="V137" t="inlineStr">
        <is>
          <t>2026-01-28</t>
        </is>
      </c>
      <c r="W137" t="inlineStr">
        <is>
          <t>Between R1 and S1</t>
        </is>
      </c>
      <c r="X137" t="n">
        <v>25240.72</v>
      </c>
      <c r="Y137" t="n">
        <v>25303.85</v>
      </c>
      <c r="Z137" t="n">
        <v>24989.75</v>
      </c>
      <c r="AA137" t="n">
        <v>25432.3</v>
      </c>
      <c r="AB137" t="n">
        <v>24804.1</v>
      </c>
      <c r="AC137" t="n">
        <v>25617.95</v>
      </c>
      <c r="AD137" t="n">
        <v>24675.65</v>
      </c>
    </row>
    <row r="138">
      <c r="A138">
        <f>HYPERLINK("../../data/FEB03_DYNAMIC/JAN28/OTM/NIFTY2620325250PE_strategy.csv", "NIFTY2620325250PE")</f>
        <v/>
      </c>
      <c r="B138" t="inlineStr">
        <is>
          <t>PE</t>
        </is>
      </c>
      <c r="C138" t="inlineStr">
        <is>
          <t>11:02:01</t>
        </is>
      </c>
      <c r="D138" t="inlineStr">
        <is>
          <t>11:04:00</t>
        </is>
      </c>
      <c r="E138" t="n">
        <v>196.7</v>
      </c>
      <c r="F138" t="n">
        <v>183.91</v>
      </c>
      <c r="G138" t="n">
        <v>83641.64</v>
      </c>
      <c r="H138" t="n">
        <v>102326.4</v>
      </c>
      <c r="I138" t="n">
        <v>71628.48</v>
      </c>
      <c r="J138" t="inlineStr">
        <is>
          <t>EXECUTED</t>
        </is>
      </c>
      <c r="K138" t="n">
        <v>0</v>
      </c>
      <c r="L138" t="n">
        <v>-5.82</v>
      </c>
      <c r="M138">
        <f>HYPERLINK("../../data/FEB03_DYNAMIC/JAN28/OTM/NIFTY2620325250PE_strategy.html", "View")</f>
        <v/>
      </c>
      <c r="N138" t="inlineStr"/>
      <c r="O138" t="inlineStr"/>
      <c r="P138" t="inlineStr">
        <is>
          <t>NEUTRAL</t>
        </is>
      </c>
      <c r="Q138" t="inlineStr">
        <is>
          <t>INCLUDED</t>
        </is>
      </c>
      <c r="R138" t="n">
        <v>-6.5</v>
      </c>
      <c r="S138" t="inlineStr">
        <is>
          <t>Fixed Stop Loss</t>
        </is>
      </c>
      <c r="T138" t="n">
        <v>0.2816</v>
      </c>
      <c r="U138" t="inlineStr"/>
      <c r="V138" t="inlineStr">
        <is>
          <t>2026-01-28</t>
        </is>
      </c>
      <c r="W138" t="inlineStr">
        <is>
          <t>Between R1 and S1</t>
        </is>
      </c>
      <c r="X138" t="n">
        <v>25293.76</v>
      </c>
      <c r="Y138" t="n">
        <v>25303.85</v>
      </c>
      <c r="Z138" t="n">
        <v>24989.75</v>
      </c>
      <c r="AA138" t="n">
        <v>25432.3</v>
      </c>
      <c r="AB138" t="n">
        <v>24804.1</v>
      </c>
      <c r="AC138" t="n">
        <v>25617.95</v>
      </c>
      <c r="AD138" t="n">
        <v>24675.65</v>
      </c>
    </row>
    <row r="139">
      <c r="A139">
        <f>HYPERLINK("../../data/FEB03_DYNAMIC/JAN28/OTM/NIFTY2620325250PE_strategy.csv", "NIFTY2620325250PE")</f>
        <v/>
      </c>
      <c r="B139" t="inlineStr">
        <is>
          <t>PE</t>
        </is>
      </c>
      <c r="C139" t="inlineStr">
        <is>
          <t>10:49:01</t>
        </is>
      </c>
      <c r="D139" t="inlineStr">
        <is>
          <t>10:51:00</t>
        </is>
      </c>
      <c r="E139" t="n">
        <v>207.85</v>
      </c>
      <c r="F139" t="n">
        <v>194.34</v>
      </c>
      <c r="G139" t="n">
        <v>89456.3</v>
      </c>
      <c r="H139" t="n">
        <v>102326.4</v>
      </c>
      <c r="I139" t="n">
        <v>71628.48</v>
      </c>
      <c r="J139" t="inlineStr">
        <is>
          <t>EXECUTED</t>
        </is>
      </c>
      <c r="K139" t="n">
        <v>0</v>
      </c>
      <c r="L139" t="n">
        <v>-5.17</v>
      </c>
      <c r="M139">
        <f>HYPERLINK("../../data/FEB03_DYNAMIC/JAN28/OTM/NIFTY2620325250PE_strategy.html", "View")</f>
        <v/>
      </c>
      <c r="N139" t="inlineStr"/>
      <c r="O139" t="inlineStr"/>
      <c r="P139" t="inlineStr">
        <is>
          <t>BEARISH</t>
        </is>
      </c>
      <c r="Q139" t="inlineStr">
        <is>
          <t>INCLUDED (HYBRID_v5_BEARISH_PE)</t>
        </is>
      </c>
      <c r="R139" t="n">
        <v>-6.5</v>
      </c>
      <c r="S139" t="inlineStr">
        <is>
          <t>Fixed Stop Loss</t>
        </is>
      </c>
      <c r="T139" t="n">
        <v>0.4179</v>
      </c>
      <c r="U139" t="inlineStr"/>
      <c r="V139" t="inlineStr">
        <is>
          <t>2026-01-28</t>
        </is>
      </c>
      <c r="W139" t="inlineStr">
        <is>
          <t>Between R1 and S1</t>
        </is>
      </c>
      <c r="X139" t="n">
        <v>25274.6</v>
      </c>
      <c r="Y139" t="n">
        <v>25303.85</v>
      </c>
      <c r="Z139" t="n">
        <v>24989.75</v>
      </c>
      <c r="AA139" t="n">
        <v>25432.3</v>
      </c>
      <c r="AB139" t="n">
        <v>24804.1</v>
      </c>
      <c r="AC139" t="n">
        <v>25617.95</v>
      </c>
      <c r="AD139" t="n">
        <v>24675.65</v>
      </c>
    </row>
    <row r="140">
      <c r="A140">
        <f>HYPERLINK("../../data/FEB03_DYNAMIC/JAN28/OTM/NIFTY2620325300CE_strategy.csv", "NIFTY2620325300CE")</f>
        <v/>
      </c>
      <c r="B140" t="inlineStr">
        <is>
          <t>CE</t>
        </is>
      </c>
      <c r="C140" t="inlineStr">
        <is>
          <t>10:24:01</t>
        </is>
      </c>
      <c r="D140" t="inlineStr">
        <is>
          <t>10:29:00</t>
        </is>
      </c>
      <c r="E140" t="n">
        <v>233.45</v>
      </c>
      <c r="F140" t="n">
        <v>218.28</v>
      </c>
      <c r="G140" t="n">
        <v>95675.17999999999</v>
      </c>
      <c r="H140" t="n">
        <v>102326.4</v>
      </c>
      <c r="I140" t="n">
        <v>71628.48</v>
      </c>
      <c r="J140" t="inlineStr">
        <is>
          <t>EXECUTED</t>
        </is>
      </c>
      <c r="K140" t="n">
        <v>1.03</v>
      </c>
      <c r="L140" t="n">
        <v>-5.7</v>
      </c>
      <c r="M140">
        <f>HYPERLINK("../../data/FEB03_DYNAMIC/JAN28/OTM/NIFTY2620325300CE_strategy.html", "View")</f>
        <v/>
      </c>
      <c r="N140" t="inlineStr"/>
      <c r="O140" t="inlineStr"/>
      <c r="P140" t="inlineStr">
        <is>
          <t>NEUTRAL</t>
        </is>
      </c>
      <c r="Q140" t="inlineStr">
        <is>
          <t>INCLUDED</t>
        </is>
      </c>
      <c r="R140" t="n">
        <v>-6.5</v>
      </c>
      <c r="S140" t="inlineStr">
        <is>
          <t>Fixed Stop Loss</t>
        </is>
      </c>
      <c r="T140" t="n">
        <v>0.4754</v>
      </c>
      <c r="U140" t="inlineStr"/>
      <c r="V140" t="inlineStr">
        <is>
          <t>2026-01-28</t>
        </is>
      </c>
      <c r="W140" t="inlineStr">
        <is>
          <t>Between R1 and S1</t>
        </is>
      </c>
      <c r="X140" t="n">
        <v>25275.2</v>
      </c>
      <c r="Y140" t="n">
        <v>25303.85</v>
      </c>
      <c r="Z140" t="n">
        <v>24989.75</v>
      </c>
      <c r="AA140" t="n">
        <v>25432.3</v>
      </c>
      <c r="AB140" t="n">
        <v>24804.1</v>
      </c>
      <c r="AC140" t="n">
        <v>25617.95</v>
      </c>
      <c r="AD140" t="n">
        <v>24675.65</v>
      </c>
    </row>
    <row r="141">
      <c r="A141">
        <f>HYPERLINK("../../data/FEB03_DYNAMIC/JAN29/OTM/NIFTY2620325400PE_strategy.csv", "NIFTY2620325400PE")</f>
        <v/>
      </c>
      <c r="B141" t="inlineStr">
        <is>
          <t>PE</t>
        </is>
      </c>
      <c r="C141" t="inlineStr">
        <is>
          <t>14:06:01</t>
        </is>
      </c>
      <c r="D141" t="inlineStr">
        <is>
          <t>14:12:00</t>
        </is>
      </c>
      <c r="E141" t="n">
        <v>169.75</v>
      </c>
      <c r="F141" t="n">
        <v>165.21</v>
      </c>
      <c r="G141" t="n">
        <v>73417.59</v>
      </c>
      <c r="H141" t="n">
        <v>100000</v>
      </c>
      <c r="I141" t="n">
        <v>70000</v>
      </c>
      <c r="J141" t="inlineStr">
        <is>
          <t>EXECUTED</t>
        </is>
      </c>
      <c r="K141" t="n">
        <v>6.54</v>
      </c>
      <c r="L141" t="n">
        <v>-5.92</v>
      </c>
      <c r="M141">
        <f>HYPERLINK("../../data/FEB03_DYNAMIC/JAN29/OTM/NIFTY2620325400PE_strategy.html", "View")</f>
        <v/>
      </c>
      <c r="N141" t="inlineStr"/>
      <c r="O141" t="inlineStr"/>
      <c r="P141" t="inlineStr">
        <is>
          <t>NEUTRAL</t>
        </is>
      </c>
      <c r="Q141" t="inlineStr">
        <is>
          <t>INCLUDED</t>
        </is>
      </c>
      <c r="R141" t="n">
        <v>-2.67</v>
      </c>
      <c r="S141" t="inlineStr">
        <is>
          <t>SuperTrend Stop Loss Exit</t>
        </is>
      </c>
      <c r="T141" t="n">
        <v>0.6581</v>
      </c>
      <c r="U141" t="inlineStr"/>
      <c r="V141" t="inlineStr">
        <is>
          <t>2026-01-29</t>
        </is>
      </c>
      <c r="W141" t="inlineStr">
        <is>
          <t>Between R1 and S1</t>
        </is>
      </c>
      <c r="X141" t="n">
        <v>25407.25</v>
      </c>
      <c r="Y141" t="n">
        <v>25414.02</v>
      </c>
      <c r="Z141" t="n">
        <v>25229.57</v>
      </c>
      <c r="AA141" t="n">
        <v>25485.28</v>
      </c>
      <c r="AB141" t="n">
        <v>25116.38</v>
      </c>
      <c r="AC141" t="n">
        <v>25598.47</v>
      </c>
      <c r="AD141" t="n">
        <v>25045.12</v>
      </c>
    </row>
    <row r="142">
      <c r="A142">
        <f>HYPERLINK("../../data/FEB03_DYNAMIC/JAN29/OTM/NIFTY2620325350PE_strategy.csv", "NIFTY2620325350PE")</f>
        <v/>
      </c>
      <c r="B142" t="inlineStr">
        <is>
          <t>PE</t>
        </is>
      </c>
      <c r="C142" t="inlineStr">
        <is>
          <t>13:19:01</t>
        </is>
      </c>
      <c r="D142" t="inlineStr">
        <is>
          <t>13:32:00</t>
        </is>
      </c>
      <c r="E142" t="n">
        <v>180</v>
      </c>
      <c r="F142" t="n">
        <v>168.3</v>
      </c>
      <c r="G142" t="n">
        <v>75431.62</v>
      </c>
      <c r="H142" t="n">
        <v>100000</v>
      </c>
      <c r="I142" t="n">
        <v>70000</v>
      </c>
      <c r="J142" t="inlineStr">
        <is>
          <t>EXECUTED</t>
        </is>
      </c>
      <c r="K142" t="n">
        <v>3.94</v>
      </c>
      <c r="L142" t="n">
        <v>-5.39</v>
      </c>
      <c r="M142">
        <f>HYPERLINK("../../data/FEB03_DYNAMIC/JAN29/OTM/NIFTY2620325350PE_strategy.html", "View")</f>
        <v/>
      </c>
      <c r="N142" t="inlineStr"/>
      <c r="O142" t="inlineStr"/>
      <c r="P142" t="inlineStr">
        <is>
          <t>BEARISH</t>
        </is>
      </c>
      <c r="Q142" t="inlineStr">
        <is>
          <t>INCLUDED (HYBRID_v5_BEARISH_PE)</t>
        </is>
      </c>
      <c r="R142" t="n">
        <v>-6.5</v>
      </c>
      <c r="S142" t="inlineStr">
        <is>
          <t>Fixed Stop Loss</t>
        </is>
      </c>
      <c r="T142" t="n">
        <v>0.5780999999999999</v>
      </c>
      <c r="U142" t="inlineStr"/>
      <c r="V142" t="inlineStr">
        <is>
          <t>2026-01-29</t>
        </is>
      </c>
      <c r="W142" t="inlineStr">
        <is>
          <t>Between R1 and S1</t>
        </is>
      </c>
      <c r="X142" t="n">
        <v>25338.59</v>
      </c>
      <c r="Y142" t="n">
        <v>25414.02</v>
      </c>
      <c r="Z142" t="n">
        <v>25229.57</v>
      </c>
      <c r="AA142" t="n">
        <v>25485.28</v>
      </c>
      <c r="AB142" t="n">
        <v>25116.38</v>
      </c>
      <c r="AC142" t="n">
        <v>25598.47</v>
      </c>
      <c r="AD142" t="n">
        <v>25045.12</v>
      </c>
    </row>
    <row r="143">
      <c r="A143">
        <f>HYPERLINK("../../data/FEB03_DYNAMIC/JAN29/OTM/NIFTY2620325250PE_strategy.csv", "NIFTY2620325250PE")</f>
        <v/>
      </c>
      <c r="B143" t="inlineStr">
        <is>
          <t>PE</t>
        </is>
      </c>
      <c r="C143" t="inlineStr">
        <is>
          <t>12:45:01</t>
        </is>
      </c>
      <c r="D143" t="inlineStr">
        <is>
          <t>12:47:00</t>
        </is>
      </c>
      <c r="E143" t="n">
        <v>163.8</v>
      </c>
      <c r="F143" t="n">
        <v>153.15</v>
      </c>
      <c r="G143" t="n">
        <v>80675.53</v>
      </c>
      <c r="H143" t="n">
        <v>100000</v>
      </c>
      <c r="I143" t="n">
        <v>70000</v>
      </c>
      <c r="J143" t="inlineStr">
        <is>
          <t>EXECUTED</t>
        </is>
      </c>
      <c r="K143" t="n">
        <v>0</v>
      </c>
      <c r="L143" t="n">
        <v>-3.69</v>
      </c>
      <c r="M143">
        <f>HYPERLINK("../../data/FEB03_DYNAMIC/JAN29/OTM/NIFTY2620325250PE_strategy.html", "View")</f>
        <v/>
      </c>
      <c r="N143" t="inlineStr"/>
      <c r="O143" t="inlineStr"/>
      <c r="P143" t="inlineStr">
        <is>
          <t>BEARISH</t>
        </is>
      </c>
      <c r="Q143" t="inlineStr">
        <is>
          <t>INCLUDED (HYBRID_v5_BEARISH_PE)</t>
        </is>
      </c>
      <c r="R143" t="n">
        <v>-6.5</v>
      </c>
      <c r="S143" t="inlineStr">
        <is>
          <t>Fixed Stop Loss</t>
        </is>
      </c>
      <c r="T143" t="n">
        <v>0.7409</v>
      </c>
      <c r="U143" t="inlineStr"/>
      <c r="V143" t="inlineStr">
        <is>
          <t>2026-01-29</t>
        </is>
      </c>
      <c r="W143" t="inlineStr">
        <is>
          <t>Between R1 and S1</t>
        </is>
      </c>
      <c r="X143" t="n">
        <v>25282.72</v>
      </c>
      <c r="Y143" t="n">
        <v>25414.02</v>
      </c>
      <c r="Z143" t="n">
        <v>25229.57</v>
      </c>
      <c r="AA143" t="n">
        <v>25485.28</v>
      </c>
      <c r="AB143" t="n">
        <v>25116.38</v>
      </c>
      <c r="AC143" t="n">
        <v>25598.47</v>
      </c>
      <c r="AD143" t="n">
        <v>25045.12</v>
      </c>
    </row>
    <row r="144">
      <c r="A144">
        <f>HYPERLINK("../../data/FEB03_DYNAMIC/JAN29/OTM/NIFTY2620325300CE_strategy.csv", "NIFTY2620325300CE")</f>
        <v/>
      </c>
      <c r="B144" t="inlineStr">
        <is>
          <t>CE</t>
        </is>
      </c>
      <c r="C144" t="inlineStr">
        <is>
          <t>12:06:01</t>
        </is>
      </c>
      <c r="D144" t="inlineStr">
        <is>
          <t>12:47:00</t>
        </is>
      </c>
      <c r="E144" t="n">
        <v>186.6</v>
      </c>
      <c r="F144" t="n">
        <v>196.6</v>
      </c>
      <c r="G144" t="n">
        <v>86283.99000000001</v>
      </c>
      <c r="H144" t="n">
        <v>100000</v>
      </c>
      <c r="I144" t="n">
        <v>70000</v>
      </c>
      <c r="J144" t="inlineStr">
        <is>
          <t>EXECUTED</t>
        </is>
      </c>
      <c r="K144" t="n">
        <v>11.47</v>
      </c>
      <c r="L144" t="n">
        <v>-3.27</v>
      </c>
      <c r="M144">
        <f>HYPERLINK("../../data/FEB03_DYNAMIC/JAN29/OTM/NIFTY2620325300CE_strategy.html", "View")</f>
        <v/>
      </c>
      <c r="N144" t="inlineStr"/>
      <c r="O144" t="inlineStr"/>
      <c r="P144" t="inlineStr">
        <is>
          <t>NEUTRAL</t>
        </is>
      </c>
      <c r="Q144" t="inlineStr">
        <is>
          <t>INCLUDED</t>
        </is>
      </c>
      <c r="R144" t="n">
        <v>5.36</v>
      </c>
      <c r="S144" t="inlineStr">
        <is>
          <t>Dynamic Trailing MA (Fast/Slow MA)</t>
        </is>
      </c>
      <c r="T144" t="n">
        <v>0.4591</v>
      </c>
      <c r="U144" t="n">
        <v>0.6843</v>
      </c>
      <c r="V144" t="inlineStr">
        <is>
          <t>2026-01-29</t>
        </is>
      </c>
      <c r="W144" t="inlineStr">
        <is>
          <t>Between R1 and S1</t>
        </is>
      </c>
      <c r="X144" t="n">
        <v>25265.79</v>
      </c>
      <c r="Y144" t="n">
        <v>25414.02</v>
      </c>
      <c r="Z144" t="n">
        <v>25229.57</v>
      </c>
      <c r="AA144" t="n">
        <v>25485.28</v>
      </c>
      <c r="AB144" t="n">
        <v>25116.38</v>
      </c>
      <c r="AC144" t="n">
        <v>25598.47</v>
      </c>
      <c r="AD144" t="n">
        <v>25045.12</v>
      </c>
    </row>
    <row r="145">
      <c r="A145">
        <f>HYPERLINK("../../data/FEB03_DYNAMIC/JAN29/OTM/NIFTY2620325300CE_strategy.csv", "NIFTY2620325300CE")</f>
        <v/>
      </c>
      <c r="B145" t="inlineStr">
        <is>
          <t>CE</t>
        </is>
      </c>
      <c r="C145" t="inlineStr">
        <is>
          <t>11:51:01</t>
        </is>
      </c>
      <c r="D145" t="inlineStr">
        <is>
          <t>11:54:00</t>
        </is>
      </c>
      <c r="E145" t="n">
        <v>190.05</v>
      </c>
      <c r="F145" t="n">
        <v>177.7</v>
      </c>
      <c r="G145" t="n">
        <v>81894.44</v>
      </c>
      <c r="H145" t="n">
        <v>100000</v>
      </c>
      <c r="I145" t="n">
        <v>70000</v>
      </c>
      <c r="J145" t="inlineStr">
        <is>
          <t>EXECUTED</t>
        </is>
      </c>
      <c r="K145" t="n">
        <v>0</v>
      </c>
      <c r="L145" t="n">
        <v>-6.45</v>
      </c>
      <c r="M145">
        <f>HYPERLINK("../../data/FEB03_DYNAMIC/JAN29/OTM/NIFTY2620325300CE_strategy.html", "View")</f>
        <v/>
      </c>
      <c r="N145" t="inlineStr"/>
      <c r="O145" t="inlineStr"/>
      <c r="P145" t="inlineStr">
        <is>
          <t>NEUTRAL</t>
        </is>
      </c>
      <c r="Q145" t="inlineStr">
        <is>
          <t>INCLUDED</t>
        </is>
      </c>
      <c r="R145" t="n">
        <v>-6.5</v>
      </c>
      <c r="S145" t="inlineStr">
        <is>
          <t>Fixed Stop Loss</t>
        </is>
      </c>
      <c r="T145" t="n">
        <v>0.4939</v>
      </c>
      <c r="U145" t="inlineStr"/>
      <c r="V145" t="inlineStr">
        <is>
          <t>2026-01-29</t>
        </is>
      </c>
      <c r="W145" t="inlineStr">
        <is>
          <t>Between R1 and S1</t>
        </is>
      </c>
      <c r="X145" t="n">
        <v>25263.91</v>
      </c>
      <c r="Y145" t="n">
        <v>25414.02</v>
      </c>
      <c r="Z145" t="n">
        <v>25229.57</v>
      </c>
      <c r="AA145" t="n">
        <v>25485.28</v>
      </c>
      <c r="AB145" t="n">
        <v>25116.38</v>
      </c>
      <c r="AC145" t="n">
        <v>25598.47</v>
      </c>
      <c r="AD145" t="n">
        <v>25045.12</v>
      </c>
    </row>
    <row r="146">
      <c r="A146">
        <f>HYPERLINK("../../data/FEB03_DYNAMIC/JAN29/OTM/NIFTY2620325300CE_strategy.csv", "NIFTY2620325300CE")</f>
        <v/>
      </c>
      <c r="B146" t="inlineStr">
        <is>
          <t>CE</t>
        </is>
      </c>
      <c r="C146" t="inlineStr">
        <is>
          <t>11:44:01</t>
        </is>
      </c>
      <c r="D146" t="inlineStr">
        <is>
          <t>11:45:00</t>
        </is>
      </c>
      <c r="E146" t="n">
        <v>192.45</v>
      </c>
      <c r="F146" t="n">
        <v>179.94</v>
      </c>
      <c r="G146" t="n">
        <v>87587.64</v>
      </c>
      <c r="H146" t="n">
        <v>100000</v>
      </c>
      <c r="I146" t="n">
        <v>70000</v>
      </c>
      <c r="J146" t="inlineStr">
        <is>
          <t>EXECUTED</t>
        </is>
      </c>
      <c r="K146" t="n">
        <v>0</v>
      </c>
      <c r="L146" t="n">
        <v>-6.68</v>
      </c>
      <c r="M146">
        <f>HYPERLINK("../../data/FEB03_DYNAMIC/JAN29/OTM/NIFTY2620325300CE_strategy.html", "View")</f>
        <v/>
      </c>
      <c r="N146" t="inlineStr"/>
      <c r="O146" t="inlineStr"/>
      <c r="P146" t="inlineStr">
        <is>
          <t>BULLISH</t>
        </is>
      </c>
      <c r="Q146" t="inlineStr">
        <is>
          <t>INCLUDED (HYBRID_v5_BULLISH_CE)</t>
        </is>
      </c>
      <c r="R146" t="n">
        <v>-6.5</v>
      </c>
      <c r="S146" t="inlineStr">
        <is>
          <t>Fixed Stop Loss</t>
        </is>
      </c>
      <c r="T146" t="n">
        <v>0.3676</v>
      </c>
      <c r="U146" t="inlineStr"/>
      <c r="V146" t="inlineStr">
        <is>
          <t>2026-01-29</t>
        </is>
      </c>
      <c r="W146" t="inlineStr">
        <is>
          <t>Between R1 and S1</t>
        </is>
      </c>
      <c r="X146" t="n">
        <v>25272.21</v>
      </c>
      <c r="Y146" t="n">
        <v>25414.02</v>
      </c>
      <c r="Z146" t="n">
        <v>25229.57</v>
      </c>
      <c r="AA146" t="n">
        <v>25485.28</v>
      </c>
      <c r="AB146" t="n">
        <v>25116.38</v>
      </c>
      <c r="AC146" t="n">
        <v>25598.47</v>
      </c>
      <c r="AD146" t="n">
        <v>25045.12</v>
      </c>
    </row>
    <row r="147">
      <c r="A147">
        <f>HYPERLINK("../../data/FEB03_DYNAMIC/JAN29/OTM/NIFTY2620325350CE_strategy.csv", "NIFTY2620325350CE")</f>
        <v/>
      </c>
      <c r="B147" t="inlineStr">
        <is>
          <t>CE</t>
        </is>
      </c>
      <c r="C147" t="inlineStr">
        <is>
          <t>09:27:01</t>
        </is>
      </c>
      <c r="D147" t="inlineStr">
        <is>
          <t>09:28:00</t>
        </is>
      </c>
      <c r="E147" t="n">
        <v>187</v>
      </c>
      <c r="F147" t="n">
        <v>174.84</v>
      </c>
      <c r="G147" t="n">
        <v>93500</v>
      </c>
      <c r="H147" t="n">
        <v>100000</v>
      </c>
      <c r="I147" t="n">
        <v>70000</v>
      </c>
      <c r="J147" t="inlineStr">
        <is>
          <t>EXECUTED</t>
        </is>
      </c>
      <c r="K147" t="n">
        <v>0</v>
      </c>
      <c r="L147" t="n">
        <v>-12.73</v>
      </c>
      <c r="M147">
        <f>HYPERLINK("../../data/FEB03_DYNAMIC/JAN29/OTM/NIFTY2620325350CE_strategy.html", "View")</f>
        <v/>
      </c>
      <c r="N147" t="inlineStr"/>
      <c r="O147" t="inlineStr"/>
      <c r="P147" t="inlineStr">
        <is>
          <t>NEUTRAL</t>
        </is>
      </c>
      <c r="Q147" t="inlineStr">
        <is>
          <t>INCLUDED</t>
        </is>
      </c>
      <c r="R147" t="n">
        <v>-6.5</v>
      </c>
      <c r="S147" t="inlineStr">
        <is>
          <t>Fixed Stop Loss</t>
        </is>
      </c>
      <c r="T147" t="n">
        <v>0.1748</v>
      </c>
      <c r="U147" t="inlineStr"/>
      <c r="V147" t="inlineStr">
        <is>
          <t>2026-01-29</t>
        </is>
      </c>
      <c r="W147" t="inlineStr">
        <is>
          <t>Between R1 and S1</t>
        </is>
      </c>
      <c r="X147" t="n">
        <v>25291.11</v>
      </c>
      <c r="Y147" t="n">
        <v>25414.02</v>
      </c>
      <c r="Z147" t="n">
        <v>25229.57</v>
      </c>
      <c r="AA147" t="n">
        <v>25485.28</v>
      </c>
      <c r="AB147" t="n">
        <v>25116.38</v>
      </c>
      <c r="AC147" t="n">
        <v>25598.47</v>
      </c>
      <c r="AD147" t="n">
        <v>25045.12</v>
      </c>
    </row>
    <row r="148">
      <c r="A148">
        <f>HYPERLINK("../../data/FEB03_DYNAMIC/JAN30/OTM/NIFTY2620325350CE_strategy.csv", "NIFTY2620325350CE")</f>
        <v/>
      </c>
      <c r="B148" t="inlineStr">
        <is>
          <t>CE</t>
        </is>
      </c>
      <c r="C148" t="inlineStr">
        <is>
          <t>15:08:01</t>
        </is>
      </c>
      <c r="D148" t="inlineStr">
        <is>
          <t>15:14:00</t>
        </is>
      </c>
      <c r="E148" t="n">
        <v>195.75</v>
      </c>
      <c r="F148" t="n">
        <v>194.3</v>
      </c>
      <c r="G148" t="n">
        <v>76772.57000000001</v>
      </c>
      <c r="H148" t="n">
        <v>100000</v>
      </c>
      <c r="I148" t="n">
        <v>70000</v>
      </c>
      <c r="J148" t="inlineStr">
        <is>
          <t>EXECUTED</t>
        </is>
      </c>
      <c r="K148" t="n">
        <v>3.19</v>
      </c>
      <c r="L148" t="n">
        <v>-7.02</v>
      </c>
      <c r="M148">
        <f>HYPERLINK("../../data/FEB03_DYNAMIC/JAN30/OTM/NIFTY2620325350CE_strategy.html", "View")</f>
        <v/>
      </c>
      <c r="N148" t="inlineStr"/>
      <c r="O148" t="inlineStr"/>
      <c r="P148" t="inlineStr">
        <is>
          <t>BULLISH</t>
        </is>
      </c>
      <c r="Q148" t="inlineStr">
        <is>
          <t>INCLUDED (HYBRID_v5_BULLISH_CE)</t>
        </is>
      </c>
      <c r="R148" t="n">
        <v>-0.74</v>
      </c>
      <c r="S148" t="inlineStr">
        <is>
          <t>EOD Exit</t>
        </is>
      </c>
      <c r="T148" t="n">
        <v>0.3132</v>
      </c>
      <c r="U148" t="inlineStr"/>
      <c r="V148" t="inlineStr">
        <is>
          <t>2026-01-30</t>
        </is>
      </c>
      <c r="W148" t="inlineStr">
        <is>
          <t>Between R1 and S1</t>
        </is>
      </c>
      <c r="X148" t="n">
        <v>25319.65</v>
      </c>
      <c r="Y148" t="n">
        <v>25531.43</v>
      </c>
      <c r="Z148" t="n">
        <v>25233.08</v>
      </c>
      <c r="AA148" t="n">
        <v>25643.97</v>
      </c>
      <c r="AB148" t="n">
        <v>25047.27</v>
      </c>
      <c r="AC148" t="n">
        <v>25829.78</v>
      </c>
      <c r="AD148" t="n">
        <v>24934.73</v>
      </c>
    </row>
    <row r="149">
      <c r="A149">
        <f>HYPERLINK("../../data/FEB03_DYNAMIC/JAN30/OTM/NIFTY2620325350PE_strategy.csv", "NIFTY2620325350PE")</f>
        <v/>
      </c>
      <c r="B149" t="inlineStr">
        <is>
          <t>PE</t>
        </is>
      </c>
      <c r="C149" t="inlineStr">
        <is>
          <t>15:01:01</t>
        </is>
      </c>
      <c r="D149" t="inlineStr">
        <is>
          <t>15:11:00</t>
        </is>
      </c>
      <c r="E149" t="n">
        <v>209.55</v>
      </c>
      <c r="F149" t="n">
        <v>194.66</v>
      </c>
      <c r="G149" t="n">
        <v>77344.92999999999</v>
      </c>
      <c r="H149" t="n">
        <v>100000</v>
      </c>
      <c r="I149" t="n">
        <v>70000</v>
      </c>
      <c r="J149" t="inlineStr">
        <is>
          <t>EXECUTED</t>
        </is>
      </c>
      <c r="K149" t="n">
        <v>5.7</v>
      </c>
      <c r="L149" t="n">
        <v>-6.06</v>
      </c>
      <c r="M149">
        <f>HYPERLINK("../../data/FEB03_DYNAMIC/JAN30/OTM/NIFTY2620325350PE_strategy.html", "View")</f>
        <v/>
      </c>
      <c r="N149" t="inlineStr"/>
      <c r="O149" t="inlineStr"/>
      <c r="P149" t="inlineStr">
        <is>
          <t>BEARISH</t>
        </is>
      </c>
      <c r="Q149" t="inlineStr">
        <is>
          <t>INCLUDED (HYBRID_v5_BEARISH_PE)</t>
        </is>
      </c>
      <c r="R149" t="n">
        <v>-7.11</v>
      </c>
      <c r="S149" t="inlineStr">
        <is>
          <t>SuperTrend Stop Loss Exit</t>
        </is>
      </c>
      <c r="T149" t="n">
        <v>0.6897</v>
      </c>
      <c r="U149" t="inlineStr"/>
      <c r="V149" t="inlineStr">
        <is>
          <t>2026-01-30</t>
        </is>
      </c>
      <c r="W149" t="inlineStr">
        <is>
          <t>Between R1 and S1</t>
        </is>
      </c>
      <c r="X149" t="n">
        <v>25306.97</v>
      </c>
      <c r="Y149" t="n">
        <v>25531.43</v>
      </c>
      <c r="Z149" t="n">
        <v>25233.08</v>
      </c>
      <c r="AA149" t="n">
        <v>25643.97</v>
      </c>
      <c r="AB149" t="n">
        <v>25047.27</v>
      </c>
      <c r="AC149" t="n">
        <v>25829.78</v>
      </c>
      <c r="AD149" t="n">
        <v>24934.73</v>
      </c>
    </row>
    <row r="150">
      <c r="A150">
        <f>HYPERLINK("../../data/FEB03_DYNAMIC/JAN30/OTM/NIFTY2620325350CE_strategy.csv", "NIFTY2620325350CE")</f>
        <v/>
      </c>
      <c r="B150" t="inlineStr">
        <is>
          <t>CE</t>
        </is>
      </c>
      <c r="C150" t="inlineStr">
        <is>
          <t>14:50:01</t>
        </is>
      </c>
      <c r="D150" t="inlineStr">
        <is>
          <t>15:01:00</t>
        </is>
      </c>
      <c r="E150" t="n">
        <v>202</v>
      </c>
      <c r="F150" t="n">
        <v>187.3</v>
      </c>
      <c r="G150" t="n">
        <v>83265.07000000001</v>
      </c>
      <c r="H150" t="n">
        <v>100000</v>
      </c>
      <c r="I150" t="n">
        <v>70000</v>
      </c>
      <c r="J150" t="inlineStr">
        <is>
          <t>EXECUTED</t>
        </is>
      </c>
      <c r="K150" t="n">
        <v>4.58</v>
      </c>
      <c r="L150" t="n">
        <v>-12.52</v>
      </c>
      <c r="M150">
        <f>HYPERLINK("../../data/FEB03_DYNAMIC/JAN30/OTM/NIFTY2620325350CE_strategy.html", "View")</f>
        <v/>
      </c>
      <c r="N150" t="inlineStr"/>
      <c r="O150" t="inlineStr"/>
      <c r="P150" t="inlineStr">
        <is>
          <t>NEUTRAL</t>
        </is>
      </c>
      <c r="Q150" t="inlineStr">
        <is>
          <t>INCLUDED</t>
        </is>
      </c>
      <c r="R150" t="n">
        <v>-7.28</v>
      </c>
      <c r="S150" t="inlineStr">
        <is>
          <t>SuperTrend Stop Loss Exit</t>
        </is>
      </c>
      <c r="T150" t="n">
        <v>0.4593</v>
      </c>
      <c r="U150" t="inlineStr"/>
      <c r="V150" t="inlineStr">
        <is>
          <t>2026-01-30</t>
        </is>
      </c>
      <c r="W150" t="inlineStr">
        <is>
          <t>Between R1 and S1</t>
        </is>
      </c>
      <c r="X150" t="n">
        <v>25348.19</v>
      </c>
      <c r="Y150" t="n">
        <v>25531.43</v>
      </c>
      <c r="Z150" t="n">
        <v>25233.08</v>
      </c>
      <c r="AA150" t="n">
        <v>25643.97</v>
      </c>
      <c r="AB150" t="n">
        <v>25047.27</v>
      </c>
      <c r="AC150" t="n">
        <v>25829.78</v>
      </c>
      <c r="AD150" t="n">
        <v>24934.73</v>
      </c>
    </row>
    <row r="151">
      <c r="A151">
        <f>HYPERLINK("../../data/FEB03_DYNAMIC/JAN30/OTM/NIFTY2620325250CE_strategy.csv", "NIFTY2620325250CE")</f>
        <v/>
      </c>
      <c r="B151" t="inlineStr">
        <is>
          <t>CE</t>
        </is>
      </c>
      <c r="C151" t="inlineStr">
        <is>
          <t>13:18:01</t>
        </is>
      </c>
      <c r="D151" t="inlineStr">
        <is>
          <t>14:28:00</t>
        </is>
      </c>
      <c r="E151" t="n">
        <v>207.3</v>
      </c>
      <c r="F151" t="n">
        <v>255.71</v>
      </c>
      <c r="G151" t="n">
        <v>89802.71000000001</v>
      </c>
      <c r="H151" t="n">
        <v>100000</v>
      </c>
      <c r="I151" t="n">
        <v>70000</v>
      </c>
      <c r="J151" t="inlineStr">
        <is>
          <t>EXECUTED</t>
        </is>
      </c>
      <c r="K151" t="n">
        <v>40.38</v>
      </c>
      <c r="L151" t="n">
        <v>-6.32</v>
      </c>
      <c r="M151">
        <f>HYPERLINK("../../data/FEB03_DYNAMIC/JAN30/OTM/NIFTY2620325250CE_strategy.html", "View")</f>
        <v/>
      </c>
      <c r="N151" t="inlineStr"/>
      <c r="O151" t="inlineStr"/>
      <c r="P151" t="inlineStr">
        <is>
          <t>BULLISH</t>
        </is>
      </c>
      <c r="Q151" t="inlineStr">
        <is>
          <t>INCLUDED (HYBRID_v5_BULLISH_CE)</t>
        </is>
      </c>
      <c r="R151" t="n">
        <v>23.35</v>
      </c>
      <c r="S151" t="inlineStr">
        <is>
          <t>SuperTrend Stop Loss Exit</t>
        </is>
      </c>
      <c r="T151" t="n">
        <v>0.1701</v>
      </c>
      <c r="U151" t="n">
        <v>0.9142</v>
      </c>
      <c r="V151" t="inlineStr">
        <is>
          <t>2026-01-30</t>
        </is>
      </c>
      <c r="W151" t="inlineStr">
        <is>
          <t>Between R1 and S1</t>
        </is>
      </c>
      <c r="X151" t="n">
        <v>25236.95</v>
      </c>
      <c r="Y151" t="n">
        <v>25531.43</v>
      </c>
      <c r="Z151" t="n">
        <v>25233.08</v>
      </c>
      <c r="AA151" t="n">
        <v>25643.97</v>
      </c>
      <c r="AB151" t="n">
        <v>25047.27</v>
      </c>
      <c r="AC151" t="n">
        <v>25829.78</v>
      </c>
      <c r="AD151" t="n">
        <v>24934.73</v>
      </c>
    </row>
    <row r="152">
      <c r="A152">
        <f>HYPERLINK("../../data/FEB03_DYNAMIC/JAN30/OTM/NIFTY2620325300CE_strategy.csv", "NIFTY2620325300CE")</f>
        <v/>
      </c>
      <c r="B152" t="inlineStr">
        <is>
          <t>CE</t>
        </is>
      </c>
      <c r="C152" t="inlineStr">
        <is>
          <t>13:00:01</t>
        </is>
      </c>
      <c r="D152" t="inlineStr">
        <is>
          <t>13:06:00</t>
        </is>
      </c>
      <c r="E152" t="n">
        <v>205.5</v>
      </c>
      <c r="F152" t="n">
        <v>192.14</v>
      </c>
      <c r="G152" t="n">
        <v>72803.17</v>
      </c>
      <c r="H152" t="n">
        <v>100000</v>
      </c>
      <c r="I152" t="n">
        <v>70000</v>
      </c>
      <c r="J152" t="inlineStr">
        <is>
          <t>EXECUTED</t>
        </is>
      </c>
      <c r="K152" t="n">
        <v>0</v>
      </c>
      <c r="L152" t="n">
        <v>-4.4</v>
      </c>
      <c r="M152">
        <f>HYPERLINK("../../data/FEB03_DYNAMIC/JAN30/OTM/NIFTY2620325300CE_strategy.html", "View")</f>
        <v/>
      </c>
      <c r="N152" t="inlineStr"/>
      <c r="O152" t="inlineStr"/>
      <c r="P152" t="inlineStr">
        <is>
          <t>BULLISH</t>
        </is>
      </c>
      <c r="Q152" t="inlineStr">
        <is>
          <t>INCLUDED (HYBRID_v5_BULLISH_CE)</t>
        </is>
      </c>
      <c r="R152" t="n">
        <v>-6.5</v>
      </c>
      <c r="S152" t="inlineStr">
        <is>
          <t>Fixed Stop Loss</t>
        </is>
      </c>
      <c r="T152" t="n">
        <v>0.5429</v>
      </c>
      <c r="U152" t="inlineStr"/>
      <c r="V152" t="inlineStr">
        <is>
          <t>2026-01-30</t>
        </is>
      </c>
      <c r="W152" t="inlineStr">
        <is>
          <t>Between R1 and S1</t>
        </is>
      </c>
      <c r="X152" t="n">
        <v>25295.59</v>
      </c>
      <c r="Y152" t="n">
        <v>25531.43</v>
      </c>
      <c r="Z152" t="n">
        <v>25233.08</v>
      </c>
      <c r="AA152" t="n">
        <v>25643.97</v>
      </c>
      <c r="AB152" t="n">
        <v>25047.27</v>
      </c>
      <c r="AC152" t="n">
        <v>25829.78</v>
      </c>
      <c r="AD152" t="n">
        <v>24934.73</v>
      </c>
    </row>
    <row r="153">
      <c r="A153">
        <f>HYPERLINK("../../data/FEB03_DYNAMIC/JAN30/OTM/NIFTY2620325250PE_strategy.csv", "NIFTY2620325250PE")</f>
        <v/>
      </c>
      <c r="B153" t="inlineStr">
        <is>
          <t>PE</t>
        </is>
      </c>
      <c r="C153" t="inlineStr">
        <is>
          <t>11:58:01</t>
        </is>
      </c>
      <c r="D153" t="inlineStr">
        <is>
          <t>12:13:00</t>
        </is>
      </c>
      <c r="E153" t="n">
        <v>190.7</v>
      </c>
      <c r="F153" t="n">
        <v>179.5</v>
      </c>
      <c r="G153" t="n">
        <v>77864.35000000001</v>
      </c>
      <c r="H153" t="n">
        <v>100000</v>
      </c>
      <c r="I153" t="n">
        <v>70000</v>
      </c>
      <c r="J153" t="inlineStr">
        <is>
          <t>EXECUTED</t>
        </is>
      </c>
      <c r="K153" t="n">
        <v>4.67</v>
      </c>
      <c r="L153" t="n">
        <v>-8.34</v>
      </c>
      <c r="M153">
        <f>HYPERLINK("../../data/FEB03_DYNAMIC/JAN30/OTM/NIFTY2620325250PE_strategy.html", "View")</f>
        <v/>
      </c>
      <c r="N153" t="inlineStr"/>
      <c r="O153" t="inlineStr"/>
      <c r="P153" t="inlineStr">
        <is>
          <t>BEARISH</t>
        </is>
      </c>
      <c r="Q153" t="inlineStr">
        <is>
          <t>INCLUDED (HYBRID_v5_BEARISH_PE)</t>
        </is>
      </c>
      <c r="R153" t="n">
        <v>-5.87</v>
      </c>
      <c r="S153" t="inlineStr">
        <is>
          <t>SuperTrend Stop Loss Exit</t>
        </is>
      </c>
      <c r="T153" t="n">
        <v>0.6171</v>
      </c>
      <c r="U153" t="inlineStr"/>
      <c r="V153" t="inlineStr">
        <is>
          <t>2026-01-30</t>
        </is>
      </c>
      <c r="W153" t="inlineStr">
        <is>
          <t>Between R1 and S1</t>
        </is>
      </c>
      <c r="X153" t="n">
        <v>25263.15</v>
      </c>
      <c r="Y153" t="n">
        <v>25531.43</v>
      </c>
      <c r="Z153" t="n">
        <v>25233.08</v>
      </c>
      <c r="AA153" t="n">
        <v>25643.97</v>
      </c>
      <c r="AB153" t="n">
        <v>25047.27</v>
      </c>
      <c r="AC153" t="n">
        <v>25829.78</v>
      </c>
      <c r="AD153" t="n">
        <v>24934.73</v>
      </c>
    </row>
    <row r="154">
      <c r="A154">
        <f>HYPERLINK("../../data/FEB03_DYNAMIC/JAN30/OTM/NIFTY2620325300PE_strategy.csv", "NIFTY2620325300PE")</f>
        <v/>
      </c>
      <c r="B154" t="inlineStr">
        <is>
          <t>PE</t>
        </is>
      </c>
      <c r="C154" t="inlineStr">
        <is>
          <t>11:05:01</t>
        </is>
      </c>
      <c r="D154" t="inlineStr">
        <is>
          <t>11:25:00</t>
        </is>
      </c>
      <c r="E154" t="n">
        <v>188.4</v>
      </c>
      <c r="F154" t="n">
        <v>204.14</v>
      </c>
      <c r="G154" t="n">
        <v>82720.02</v>
      </c>
      <c r="H154" t="n">
        <v>100000</v>
      </c>
      <c r="I154" t="n">
        <v>70000</v>
      </c>
      <c r="J154" t="inlineStr">
        <is>
          <t>EXECUTED</t>
        </is>
      </c>
      <c r="K154" t="n">
        <v>20.73</v>
      </c>
      <c r="L154" t="n">
        <v>-3.16</v>
      </c>
      <c r="M154">
        <f>HYPERLINK("../../data/FEB03_DYNAMIC/JAN30/OTM/NIFTY2620325300PE_strategy.html", "View")</f>
        <v/>
      </c>
      <c r="N154" t="inlineStr"/>
      <c r="O154" t="inlineStr"/>
      <c r="P154" t="inlineStr">
        <is>
          <t>NEUTRAL</t>
        </is>
      </c>
      <c r="Q154" t="inlineStr">
        <is>
          <t>INCLUDED</t>
        </is>
      </c>
      <c r="R154" t="n">
        <v>8.35</v>
      </c>
      <c r="S154" t="inlineStr">
        <is>
          <t>SuperTrend Stop Loss Exit</t>
        </is>
      </c>
      <c r="T154" t="n">
        <v>0.4532</v>
      </c>
      <c r="U154" t="n">
        <v>0.6009</v>
      </c>
      <c r="V154" t="inlineStr">
        <is>
          <t>2026-01-30</t>
        </is>
      </c>
      <c r="W154" t="inlineStr">
        <is>
          <t>Between R1 and S1</t>
        </is>
      </c>
      <c r="X154" t="n">
        <v>25296.39</v>
      </c>
      <c r="Y154" t="n">
        <v>25531.43</v>
      </c>
      <c r="Z154" t="n">
        <v>25233.08</v>
      </c>
      <c r="AA154" t="n">
        <v>25643.97</v>
      </c>
      <c r="AB154" t="n">
        <v>25047.27</v>
      </c>
      <c r="AC154" t="n">
        <v>25829.78</v>
      </c>
      <c r="AD154" t="n">
        <v>24934.73</v>
      </c>
    </row>
    <row r="155">
      <c r="A155">
        <f>HYPERLINK("../../data/FEB03_DYNAMIC/JAN30/OTM/NIFTY2620325300PE_strategy.csv", "NIFTY2620325300PE")</f>
        <v/>
      </c>
      <c r="B155" t="inlineStr">
        <is>
          <t>PE</t>
        </is>
      </c>
      <c r="C155" t="inlineStr">
        <is>
          <t>10:51:01</t>
        </is>
      </c>
      <c r="D155" t="inlineStr">
        <is>
          <t>11:01:00</t>
        </is>
      </c>
      <c r="E155" t="n">
        <v>195.3</v>
      </c>
      <c r="F155" t="n">
        <v>182.61</v>
      </c>
      <c r="G155" t="n">
        <v>81652.62</v>
      </c>
      <c r="H155" t="n">
        <v>100000</v>
      </c>
      <c r="I155" t="n">
        <v>70000</v>
      </c>
      <c r="J155" t="inlineStr">
        <is>
          <t>EXECUTED</t>
        </is>
      </c>
      <c r="K155" t="n">
        <v>2.38</v>
      </c>
      <c r="L155" t="n">
        <v>-5.97</v>
      </c>
      <c r="M155">
        <f>HYPERLINK("../../data/FEB03_DYNAMIC/JAN30/OTM/NIFTY2620325300PE_strategy.html", "View")</f>
        <v/>
      </c>
      <c r="N155" t="inlineStr"/>
      <c r="O155" t="inlineStr"/>
      <c r="P155" t="inlineStr">
        <is>
          <t>NEUTRAL</t>
        </is>
      </c>
      <c r="Q155" t="inlineStr">
        <is>
          <t>INCLUDED</t>
        </is>
      </c>
      <c r="R155" t="n">
        <v>-6.5</v>
      </c>
      <c r="S155" t="inlineStr">
        <is>
          <t>Fixed Stop Loss</t>
        </is>
      </c>
      <c r="T155" t="n">
        <v>0.3721</v>
      </c>
      <c r="U155" t="inlineStr"/>
      <c r="V155" t="inlineStr">
        <is>
          <t>2026-01-30</t>
        </is>
      </c>
      <c r="W155" t="inlineStr">
        <is>
          <t>Between R1 and S1</t>
        </is>
      </c>
      <c r="X155" t="n">
        <v>25291.28</v>
      </c>
      <c r="Y155" t="n">
        <v>25531.43</v>
      </c>
      <c r="Z155" t="n">
        <v>25233.08</v>
      </c>
      <c r="AA155" t="n">
        <v>25643.97</v>
      </c>
      <c r="AB155" t="n">
        <v>25047.27</v>
      </c>
      <c r="AC155" t="n">
        <v>25829.78</v>
      </c>
      <c r="AD155" t="n">
        <v>24934.73</v>
      </c>
    </row>
    <row r="156">
      <c r="A156">
        <f>HYPERLINK("../../data/FEB03_DYNAMIC/JAN30/OTM/NIFTY2620325300CE_strategy.csv", "NIFTY2620325300CE")</f>
        <v/>
      </c>
      <c r="B156" t="inlineStr">
        <is>
          <t>CE</t>
        </is>
      </c>
      <c r="C156" t="inlineStr">
        <is>
          <t>10:33:01</t>
        </is>
      </c>
      <c r="D156" t="inlineStr">
        <is>
          <t>11:09:00</t>
        </is>
      </c>
      <c r="E156" t="n">
        <v>202.3</v>
      </c>
      <c r="F156" t="n">
        <v>189.15</v>
      </c>
      <c r="G156" t="n">
        <v>76345.2</v>
      </c>
      <c r="H156" t="n">
        <v>100000</v>
      </c>
      <c r="I156" t="n">
        <v>70000</v>
      </c>
      <c r="J156" t="inlineStr">
        <is>
          <t>EXECUTED</t>
        </is>
      </c>
      <c r="K156" t="n">
        <v>4.35</v>
      </c>
      <c r="L156" t="n">
        <v>-6.38</v>
      </c>
      <c r="M156">
        <f>HYPERLINK("../../data/FEB03_DYNAMIC/JAN30/OTM/NIFTY2620325300CE_strategy.html", "View")</f>
        <v/>
      </c>
      <c r="N156" t="inlineStr"/>
      <c r="O156" t="inlineStr"/>
      <c r="P156" t="inlineStr">
        <is>
          <t>NEUTRAL</t>
        </is>
      </c>
      <c r="Q156" t="inlineStr">
        <is>
          <t>INCLUDED</t>
        </is>
      </c>
      <c r="R156" t="n">
        <v>-6.5</v>
      </c>
      <c r="S156" t="inlineStr">
        <is>
          <t>Fixed Stop Loss</t>
        </is>
      </c>
      <c r="T156" t="n">
        <v>0.3396</v>
      </c>
      <c r="U156" t="inlineStr"/>
      <c r="V156" t="inlineStr">
        <is>
          <t>2026-01-30</t>
        </is>
      </c>
      <c r="W156" t="inlineStr">
        <is>
          <t>Between R1 and S1</t>
        </is>
      </c>
      <c r="X156" t="n">
        <v>25292.56</v>
      </c>
      <c r="Y156" t="n">
        <v>25531.43</v>
      </c>
      <c r="Z156" t="n">
        <v>25233.08</v>
      </c>
      <c r="AA156" t="n">
        <v>25643.97</v>
      </c>
      <c r="AB156" t="n">
        <v>25047.27</v>
      </c>
      <c r="AC156" t="n">
        <v>25829.78</v>
      </c>
      <c r="AD156" t="n">
        <v>24934.73</v>
      </c>
    </row>
    <row r="157">
      <c r="A157">
        <f>HYPERLINK("../../data/FEB03_DYNAMIC/JAN30/OTM/NIFTY2620325250PE_strategy.csv", "NIFTY2620325250PE")</f>
        <v/>
      </c>
      <c r="B157" t="inlineStr">
        <is>
          <t>PE</t>
        </is>
      </c>
      <c r="C157" t="inlineStr">
        <is>
          <t>10:24:01</t>
        </is>
      </c>
      <c r="D157" t="inlineStr">
        <is>
          <t>10:48:00</t>
        </is>
      </c>
      <c r="E157" t="n">
        <v>174.5</v>
      </c>
      <c r="F157" t="n">
        <v>162.98</v>
      </c>
      <c r="G157" t="n">
        <v>87329</v>
      </c>
      <c r="H157" t="n">
        <v>100000</v>
      </c>
      <c r="I157" t="n">
        <v>70000</v>
      </c>
      <c r="J157" t="inlineStr">
        <is>
          <t>EXECUTED</t>
        </is>
      </c>
      <c r="K157" t="n">
        <v>5.53</v>
      </c>
      <c r="L157" t="n">
        <v>-7.65</v>
      </c>
      <c r="M157">
        <f>HYPERLINK("../../data/FEB03_DYNAMIC/JAN30/OTM/NIFTY2620325250PE_strategy.html", "View")</f>
        <v/>
      </c>
      <c r="N157" t="inlineStr"/>
      <c r="O157" t="inlineStr"/>
      <c r="P157" t="inlineStr">
        <is>
          <t>NEUTRAL</t>
        </is>
      </c>
      <c r="Q157" t="inlineStr">
        <is>
          <t>INCLUDED</t>
        </is>
      </c>
      <c r="R157" t="n">
        <v>-6.6</v>
      </c>
      <c r="S157" t="inlineStr">
        <is>
          <t>SuperTrend Stop Loss Exit</t>
        </is>
      </c>
      <c r="T157" t="n">
        <v>0.5195</v>
      </c>
      <c r="U157" t="inlineStr"/>
      <c r="V157" t="inlineStr">
        <is>
          <t>2026-01-30</t>
        </is>
      </c>
      <c r="W157" t="inlineStr">
        <is>
          <t>Between R1 and S1</t>
        </is>
      </c>
      <c r="X157" t="n">
        <v>25280.88</v>
      </c>
      <c r="Y157" t="n">
        <v>25531.43</v>
      </c>
      <c r="Z157" t="n">
        <v>25233.08</v>
      </c>
      <c r="AA157" t="n">
        <v>25643.97</v>
      </c>
      <c r="AB157" t="n">
        <v>25047.27</v>
      </c>
      <c r="AC157" t="n">
        <v>25829.78</v>
      </c>
      <c r="AD157" t="n">
        <v>24934.73</v>
      </c>
    </row>
    <row r="158">
      <c r="A158">
        <f>HYPERLINK("../../data/FEB03_DYNAMIC/JAN30/OTM/NIFTY2620325250PE_strategy.csv", "NIFTY2620325250PE")</f>
        <v/>
      </c>
      <c r="B158" t="inlineStr">
        <is>
          <t>PE</t>
        </is>
      </c>
      <c r="C158" t="inlineStr">
        <is>
          <t>09:57:01</t>
        </is>
      </c>
      <c r="D158" t="inlineStr">
        <is>
          <t>10:01:00</t>
        </is>
      </c>
      <c r="E158" t="n">
        <v>174.55</v>
      </c>
      <c r="F158" t="n">
        <v>163.2</v>
      </c>
      <c r="G158" t="n">
        <v>93500</v>
      </c>
      <c r="H158" t="n">
        <v>100000</v>
      </c>
      <c r="I158" t="n">
        <v>70000</v>
      </c>
      <c r="J158" t="inlineStr">
        <is>
          <t>EXECUTED</t>
        </is>
      </c>
      <c r="K158" t="n">
        <v>4.58</v>
      </c>
      <c r="L158" t="n">
        <v>-10.05</v>
      </c>
      <c r="M158">
        <f>HYPERLINK("../../data/FEB03_DYNAMIC/JAN30/OTM/NIFTY2620325250PE_strategy.html", "View")</f>
        <v/>
      </c>
      <c r="N158" t="inlineStr"/>
      <c r="O158" t="inlineStr"/>
      <c r="P158" t="inlineStr">
        <is>
          <t>NEUTRAL</t>
        </is>
      </c>
      <c r="Q158" t="inlineStr">
        <is>
          <t>INCLUDED</t>
        </is>
      </c>
      <c r="R158" t="n">
        <v>-6.5</v>
      </c>
      <c r="S158" t="inlineStr">
        <is>
          <t>Fixed Stop Loss</t>
        </is>
      </c>
      <c r="T158" t="n">
        <v>0.5613</v>
      </c>
      <c r="U158" t="inlineStr"/>
      <c r="V158" t="inlineStr">
        <is>
          <t>2026-01-30</t>
        </is>
      </c>
      <c r="W158" t="inlineStr">
        <is>
          <t>Between R1 and S1</t>
        </is>
      </c>
      <c r="X158" t="n">
        <v>25285.25</v>
      </c>
      <c r="Y158" t="n">
        <v>25531.43</v>
      </c>
      <c r="Z158" t="n">
        <v>25233.08</v>
      </c>
      <c r="AA158" t="n">
        <v>25643.97</v>
      </c>
      <c r="AB158" t="n">
        <v>25047.27</v>
      </c>
      <c r="AC158" t="n">
        <v>25829.78</v>
      </c>
      <c r="AD158" t="n">
        <v>24934.73</v>
      </c>
    </row>
    <row r="159">
      <c r="A159">
        <f>HYPERLINK("../../data/FEB03_DYNAMIC/FEB01/OTM/NIFTY2620325350PE_strategy.csv", "NIFTY2620325350PE")</f>
        <v/>
      </c>
      <c r="B159" t="inlineStr">
        <is>
          <t>PE</t>
        </is>
      </c>
      <c r="C159" t="inlineStr">
        <is>
          <t>10:40:01</t>
        </is>
      </c>
      <c r="D159" t="inlineStr">
        <is>
          <t>11:08:00</t>
        </is>
      </c>
      <c r="E159" t="n">
        <v>186.05</v>
      </c>
      <c r="F159" t="n">
        <v>183.09</v>
      </c>
      <c r="G159" t="n">
        <v>86032.48</v>
      </c>
      <c r="H159" t="n">
        <v>100000</v>
      </c>
      <c r="I159" t="n">
        <v>70000</v>
      </c>
      <c r="J159" t="inlineStr">
        <is>
          <t>EXECUTED</t>
        </is>
      </c>
      <c r="K159" t="n">
        <v>9.43</v>
      </c>
      <c r="L159" t="n">
        <v>-4.62</v>
      </c>
      <c r="M159">
        <f>HYPERLINK("../../data/FEB03_DYNAMIC/FEB01/OTM/NIFTY2620325350PE_strategy.html", "View")</f>
        <v/>
      </c>
      <c r="N159" t="inlineStr"/>
      <c r="O159" t="inlineStr"/>
      <c r="P159" t="inlineStr">
        <is>
          <t>BEARISH</t>
        </is>
      </c>
      <c r="Q159" t="inlineStr">
        <is>
          <t>INCLUDED (HYBRID_v5_BEARISH_PE)</t>
        </is>
      </c>
      <c r="R159" t="n">
        <v>-1.59</v>
      </c>
      <c r="S159" t="inlineStr">
        <is>
          <t>SuperTrend Stop Loss Exit</t>
        </is>
      </c>
      <c r="T159" t="n">
        <v>0.4317</v>
      </c>
      <c r="U159" t="n">
        <v>0.6084000000000001</v>
      </c>
      <c r="V159" t="inlineStr">
        <is>
          <t>2026-02-01</t>
        </is>
      </c>
      <c r="W159" t="inlineStr">
        <is>
          <t>Between R1 and S1</t>
        </is>
      </c>
      <c r="X159" t="n">
        <v>25378.93</v>
      </c>
      <c r="Y159" t="n">
        <v>25389.68</v>
      </c>
      <c r="Z159" t="n">
        <v>25232.63</v>
      </c>
      <c r="AA159" t="n">
        <v>25458.72</v>
      </c>
      <c r="AB159" t="n">
        <v>25144.62</v>
      </c>
      <c r="AC159" t="n">
        <v>25546.73</v>
      </c>
      <c r="AD159" t="n">
        <v>25075.58</v>
      </c>
    </row>
    <row r="160">
      <c r="A160">
        <f>HYPERLINK("../../data/FEB03_DYNAMIC/FEB01/OTM/NIFTY2620325350PE_strategy.csv", "NIFTY2620325350PE")</f>
        <v/>
      </c>
      <c r="B160" t="inlineStr">
        <is>
          <t>PE</t>
        </is>
      </c>
      <c r="C160" t="inlineStr">
        <is>
          <t>10:32:01</t>
        </is>
      </c>
      <c r="D160" t="inlineStr">
        <is>
          <t>10:35:00</t>
        </is>
      </c>
      <c r="E160" t="n">
        <v>193.9</v>
      </c>
      <c r="F160" t="n">
        <v>181.3</v>
      </c>
      <c r="G160" t="n">
        <v>87422.5</v>
      </c>
      <c r="H160" t="n">
        <v>100000</v>
      </c>
      <c r="I160" t="n">
        <v>70000</v>
      </c>
      <c r="J160" t="inlineStr">
        <is>
          <t>EXECUTED</t>
        </is>
      </c>
      <c r="K160" t="n">
        <v>0</v>
      </c>
      <c r="L160" t="n">
        <v>-4.41</v>
      </c>
      <c r="M160">
        <f>HYPERLINK("../../data/FEB03_DYNAMIC/FEB01/OTM/NIFTY2620325350PE_strategy.html", "View")</f>
        <v/>
      </c>
      <c r="N160" t="inlineStr"/>
      <c r="O160" t="inlineStr"/>
      <c r="P160" t="inlineStr">
        <is>
          <t>NEUTRAL</t>
        </is>
      </c>
      <c r="Q160" t="inlineStr">
        <is>
          <t>INCLUDED</t>
        </is>
      </c>
      <c r="R160" t="n">
        <v>-6.5</v>
      </c>
      <c r="S160" t="inlineStr">
        <is>
          <t>Fixed Stop Loss</t>
        </is>
      </c>
      <c r="T160" t="n">
        <v>0.4433</v>
      </c>
      <c r="U160" t="inlineStr"/>
      <c r="V160" t="inlineStr">
        <is>
          <t>2026-02-01</t>
        </is>
      </c>
      <c r="W160" t="inlineStr">
        <is>
          <t>Between R1 and S1</t>
        </is>
      </c>
      <c r="X160" t="n">
        <v>25358.47</v>
      </c>
      <c r="Y160" t="n">
        <v>25389.68</v>
      </c>
      <c r="Z160" t="n">
        <v>25232.63</v>
      </c>
      <c r="AA160" t="n">
        <v>25458.72</v>
      </c>
      <c r="AB160" t="n">
        <v>25144.62</v>
      </c>
      <c r="AC160" t="n">
        <v>25546.73</v>
      </c>
      <c r="AD160" t="n">
        <v>25075.58</v>
      </c>
    </row>
    <row r="161">
      <c r="A161">
        <f>HYPERLINK("../../data/FEB03_DYNAMIC/FEB01/OTM/NIFTY2620325350PE_strategy.csv", "NIFTY2620325350PE")</f>
        <v/>
      </c>
      <c r="B161" t="inlineStr">
        <is>
          <t>PE</t>
        </is>
      </c>
      <c r="C161" t="inlineStr">
        <is>
          <t>10:19:01</t>
        </is>
      </c>
      <c r="D161" t="inlineStr">
        <is>
          <t>10:21:00</t>
        </is>
      </c>
      <c r="E161" t="n">
        <v>197.8</v>
      </c>
      <c r="F161" t="n">
        <v>184.94</v>
      </c>
      <c r="G161" t="n">
        <v>93500</v>
      </c>
      <c r="H161" t="n">
        <v>100000</v>
      </c>
      <c r="I161" t="n">
        <v>70000</v>
      </c>
      <c r="J161" t="inlineStr">
        <is>
          <t>EXECUTED</t>
        </is>
      </c>
      <c r="K161" t="n">
        <v>0</v>
      </c>
      <c r="L161" t="n">
        <v>-5.86</v>
      </c>
      <c r="M161">
        <f>HYPERLINK("../../data/FEB03_DYNAMIC/FEB01/OTM/NIFTY2620325350PE_strategy.html", "View")</f>
        <v/>
      </c>
      <c r="N161" t="inlineStr"/>
      <c r="O161" t="inlineStr"/>
      <c r="P161" t="inlineStr">
        <is>
          <t>NEUTRAL</t>
        </is>
      </c>
      <c r="Q161" t="inlineStr">
        <is>
          <t>INCLUDED</t>
        </is>
      </c>
      <c r="R161" t="n">
        <v>-6.5</v>
      </c>
      <c r="S161" t="inlineStr">
        <is>
          <t>Fixed Stop Loss</t>
        </is>
      </c>
      <c r="T161" t="n">
        <v>0.3322</v>
      </c>
      <c r="U161" t="inlineStr"/>
      <c r="V161" t="inlineStr">
        <is>
          <t>2026-02-01</t>
        </is>
      </c>
      <c r="W161" t="inlineStr">
        <is>
          <t>Between R1 and S1</t>
        </is>
      </c>
      <c r="X161" t="n">
        <v>25343.51</v>
      </c>
      <c r="Y161" t="n">
        <v>25389.68</v>
      </c>
      <c r="Z161" t="n">
        <v>25232.63</v>
      </c>
      <c r="AA161" t="n">
        <v>25458.72</v>
      </c>
      <c r="AB161" t="n">
        <v>25144.62</v>
      </c>
      <c r="AC161" t="n">
        <v>25546.73</v>
      </c>
      <c r="AD161" t="n">
        <v>25075.58</v>
      </c>
    </row>
    <row r="162">
      <c r="A162">
        <f>HYPERLINK("../../data/FEB03_DYNAMIC/FEB02/OTM/NIFTY2620324950PE_strategy.csv", "NIFTY2620324950PE")</f>
        <v/>
      </c>
      <c r="B162" t="inlineStr">
        <is>
          <t>PE</t>
        </is>
      </c>
      <c r="C162" t="inlineStr">
        <is>
          <t>14:35:01</t>
        </is>
      </c>
      <c r="D162" t="inlineStr">
        <is>
          <t>14:47:00</t>
        </is>
      </c>
      <c r="E162" t="n">
        <v>106.8</v>
      </c>
      <c r="F162" t="n">
        <v>98.26000000000001</v>
      </c>
      <c r="G162" t="n">
        <v>151619.13</v>
      </c>
      <c r="H162" t="n">
        <v>194711.02</v>
      </c>
      <c r="I162" t="n">
        <v>136297.71</v>
      </c>
      <c r="J162" t="inlineStr">
        <is>
          <t>EXECUTED</t>
        </is>
      </c>
      <c r="K162" t="n">
        <v>4.82</v>
      </c>
      <c r="L162" t="n">
        <v>-20.13</v>
      </c>
      <c r="M162">
        <f>HYPERLINK("../../data/FEB03_DYNAMIC/FEB02/OTM/NIFTY2620324950PE_strategy.html", "View")</f>
        <v/>
      </c>
      <c r="N162" t="inlineStr"/>
      <c r="O162" t="inlineStr"/>
      <c r="P162" t="inlineStr">
        <is>
          <t>NEUTRAL</t>
        </is>
      </c>
      <c r="Q162" t="inlineStr">
        <is>
          <t>INCLUDED</t>
        </is>
      </c>
      <c r="R162" t="n">
        <v>-8</v>
      </c>
      <c r="S162" t="inlineStr">
        <is>
          <t>Fixed Stop Loss</t>
        </is>
      </c>
      <c r="T162" t="n">
        <v>0.4276</v>
      </c>
      <c r="U162" t="inlineStr"/>
      <c r="V162" t="inlineStr">
        <is>
          <t>2026-02-02</t>
        </is>
      </c>
      <c r="W162" t="inlineStr">
        <is>
          <t>Between R1 and S1</t>
        </is>
      </c>
      <c r="X162" t="n">
        <v>24943.2</v>
      </c>
      <c r="Y162" t="n">
        <v>25320.32</v>
      </c>
      <c r="Z162" t="n">
        <v>24451.17</v>
      </c>
      <c r="AA162" t="n">
        <v>25815.18</v>
      </c>
      <c r="AB162" t="n">
        <v>24076.88</v>
      </c>
      <c r="AC162" t="n">
        <v>26189.47</v>
      </c>
      <c r="AD162" t="n">
        <v>23582.02</v>
      </c>
    </row>
    <row r="163">
      <c r="A163">
        <f>HYPERLINK("../../data/FEB03_DYNAMIC/FEB02/OTM/NIFTY2620324950CE_strategy.csv", "NIFTY2620324950CE")</f>
        <v/>
      </c>
      <c r="B163" t="inlineStr">
        <is>
          <t>CE</t>
        </is>
      </c>
      <c r="C163" t="inlineStr">
        <is>
          <t>14:15:01</t>
        </is>
      </c>
      <c r="D163" t="inlineStr">
        <is>
          <t>14:18:00</t>
        </is>
      </c>
      <c r="E163" t="n">
        <v>101.15</v>
      </c>
      <c r="F163" t="n">
        <v>93.06</v>
      </c>
      <c r="G163" t="n">
        <v>164803.41</v>
      </c>
      <c r="H163" t="n">
        <v>194711.02</v>
      </c>
      <c r="I163" t="n">
        <v>136297.71</v>
      </c>
      <c r="J163" t="inlineStr">
        <is>
          <t>EXECUTED</t>
        </is>
      </c>
      <c r="K163" t="n">
        <v>7.76</v>
      </c>
      <c r="L163" t="n">
        <v>-14.88</v>
      </c>
      <c r="M163">
        <f>HYPERLINK("../../data/FEB03_DYNAMIC/FEB02/OTM/NIFTY2620324950CE_strategy.html", "View")</f>
        <v/>
      </c>
      <c r="N163" t="inlineStr"/>
      <c r="O163" t="inlineStr"/>
      <c r="P163" t="inlineStr">
        <is>
          <t>NEUTRAL</t>
        </is>
      </c>
      <c r="Q163" t="inlineStr">
        <is>
          <t>INCLUDED</t>
        </is>
      </c>
      <c r="R163" t="n">
        <v>-8</v>
      </c>
      <c r="S163" t="inlineStr">
        <is>
          <t>Fixed Stop Loss</t>
        </is>
      </c>
      <c r="T163" t="n">
        <v>0.5124</v>
      </c>
      <c r="U163" t="n">
        <v>0.5049</v>
      </c>
      <c r="V163" t="inlineStr">
        <is>
          <t>2026-02-02</t>
        </is>
      </c>
      <c r="W163" t="inlineStr">
        <is>
          <t>Between R1 and S1</t>
        </is>
      </c>
      <c r="X163" t="n">
        <v>24947.35</v>
      </c>
      <c r="Y163" t="n">
        <v>25320.32</v>
      </c>
      <c r="Z163" t="n">
        <v>24451.17</v>
      </c>
      <c r="AA163" t="n">
        <v>25815.18</v>
      </c>
      <c r="AB163" t="n">
        <v>24076.88</v>
      </c>
      <c r="AC163" t="n">
        <v>26189.47</v>
      </c>
      <c r="AD163" t="n">
        <v>23582.02</v>
      </c>
    </row>
    <row r="164">
      <c r="A164">
        <f>HYPERLINK("../../data/FEB03_DYNAMIC/FEB02/OTM/NIFTY2620324950PE_strategy.csv", "NIFTY2620324950PE")</f>
        <v/>
      </c>
      <c r="B164" t="inlineStr">
        <is>
          <t>PE</t>
        </is>
      </c>
      <c r="C164" t="inlineStr">
        <is>
          <t>14:01:01</t>
        </is>
      </c>
      <c r="D164" t="inlineStr">
        <is>
          <t>14:02:00</t>
        </is>
      </c>
      <c r="E164" t="n">
        <v>115.2</v>
      </c>
      <c r="F164" t="n">
        <v>105.98</v>
      </c>
      <c r="G164" t="n">
        <v>179134.14</v>
      </c>
      <c r="H164" t="n">
        <v>194711.02</v>
      </c>
      <c r="I164" t="n">
        <v>136297.71</v>
      </c>
      <c r="J164" t="inlineStr">
        <is>
          <t>EXECUTED</t>
        </is>
      </c>
      <c r="K164" t="n">
        <v>0</v>
      </c>
      <c r="L164" t="n">
        <v>-12.33</v>
      </c>
      <c r="M164">
        <f>HYPERLINK("../../data/FEB03_DYNAMIC/FEB02/OTM/NIFTY2620324950PE_strategy.html", "View")</f>
        <v/>
      </c>
      <c r="N164" t="inlineStr"/>
      <c r="O164" t="inlineStr"/>
      <c r="P164" t="inlineStr">
        <is>
          <t>NEUTRAL</t>
        </is>
      </c>
      <c r="Q164" t="inlineStr">
        <is>
          <t>INCLUDED</t>
        </is>
      </c>
      <c r="R164" t="n">
        <v>-8</v>
      </c>
      <c r="S164" t="inlineStr">
        <is>
          <t>Fixed Stop Loss</t>
        </is>
      </c>
      <c r="T164" t="n">
        <v>0.7165</v>
      </c>
      <c r="U164" t="inlineStr"/>
      <c r="V164" t="inlineStr">
        <is>
          <t>2026-02-02</t>
        </is>
      </c>
      <c r="W164" t="inlineStr">
        <is>
          <t>Between R1 and S1</t>
        </is>
      </c>
      <c r="X164" t="n">
        <v>24945.92</v>
      </c>
      <c r="Y164" t="n">
        <v>25320.32</v>
      </c>
      <c r="Z164" t="n">
        <v>24451.17</v>
      </c>
      <c r="AA164" t="n">
        <v>25815.18</v>
      </c>
      <c r="AB164" t="n">
        <v>24076.88</v>
      </c>
      <c r="AC164" t="n">
        <v>26189.47</v>
      </c>
      <c r="AD164" t="n">
        <v>23582.02</v>
      </c>
    </row>
    <row r="165">
      <c r="A165">
        <f>HYPERLINK("../../data/FEB03_DYNAMIC/FEB02/OTM/NIFTY2620324900CE_strategy.csv", "NIFTY2620324900CE")</f>
        <v/>
      </c>
      <c r="B165" t="inlineStr">
        <is>
          <t>CE</t>
        </is>
      </c>
      <c r="C165" t="inlineStr">
        <is>
          <t>13:38:01</t>
        </is>
      </c>
      <c r="D165" t="inlineStr">
        <is>
          <t>14:00:00</t>
        </is>
      </c>
      <c r="E165" t="n">
        <v>105.8</v>
      </c>
      <c r="F165" t="n">
        <v>130.59</v>
      </c>
      <c r="G165" t="n">
        <v>194711.02</v>
      </c>
      <c r="H165" t="n">
        <v>194711.02</v>
      </c>
      <c r="I165" t="n">
        <v>136297.71</v>
      </c>
      <c r="J165" t="inlineStr">
        <is>
          <t>EXECUTED</t>
        </is>
      </c>
      <c r="K165" t="n">
        <v>57.09</v>
      </c>
      <c r="L165" t="n">
        <v>-16.73</v>
      </c>
      <c r="M165">
        <f>HYPERLINK("../../data/FEB03_DYNAMIC/FEB02/OTM/NIFTY2620324900CE_strategy.html", "View")</f>
        <v/>
      </c>
      <c r="N165" t="inlineStr"/>
      <c r="O165" t="inlineStr"/>
      <c r="P165" t="inlineStr">
        <is>
          <t>NEUTRAL</t>
        </is>
      </c>
      <c r="Q165" t="inlineStr">
        <is>
          <t>INCLUDED</t>
        </is>
      </c>
      <c r="R165" t="n">
        <v>23.43</v>
      </c>
      <c r="S165" t="inlineStr">
        <is>
          <t>SuperTrend Stop Loss Exit</t>
        </is>
      </c>
      <c r="T165" t="n">
        <v>0.7043</v>
      </c>
      <c r="U165" t="n">
        <v>0.7594</v>
      </c>
      <c r="V165" t="inlineStr">
        <is>
          <t>2026-02-02</t>
        </is>
      </c>
      <c r="W165" t="inlineStr">
        <is>
          <t>Between R1 and S1</t>
        </is>
      </c>
      <c r="X165" t="n">
        <v>24899.55</v>
      </c>
      <c r="Y165" t="n">
        <v>25320.32</v>
      </c>
      <c r="Z165" t="n">
        <v>24451.17</v>
      </c>
      <c r="AA165" t="n">
        <v>25815.18</v>
      </c>
      <c r="AB165" t="n">
        <v>24076.88</v>
      </c>
      <c r="AC165" t="n">
        <v>26189.47</v>
      </c>
      <c r="AD165" t="n">
        <v>23582.02</v>
      </c>
    </row>
    <row r="166">
      <c r="A166">
        <f>HYPERLINK("../../data/FEB03_DYNAMIC/FEB02/OTM/NIFTY2620324900PE_strategy.csv", "NIFTY2620324900PE")</f>
        <v/>
      </c>
      <c r="B166" t="inlineStr">
        <is>
          <t>PE</t>
        </is>
      </c>
      <c r="C166" t="inlineStr">
        <is>
          <t>13:16:01</t>
        </is>
      </c>
      <c r="D166" t="inlineStr">
        <is>
          <t>13:28:00</t>
        </is>
      </c>
      <c r="E166" t="n">
        <v>100.85</v>
      </c>
      <c r="F166" t="n">
        <v>110.14</v>
      </c>
      <c r="G166" t="n">
        <v>157750.16</v>
      </c>
      <c r="H166" t="n">
        <v>170660</v>
      </c>
      <c r="I166" t="n">
        <v>119462</v>
      </c>
      <c r="J166" t="inlineStr">
        <is>
          <t>EXECUTED</t>
        </is>
      </c>
      <c r="K166" t="n">
        <v>39.71</v>
      </c>
      <c r="L166" t="n">
        <v>-14.63</v>
      </c>
      <c r="M166">
        <f>HYPERLINK("../../data/FEB03_DYNAMIC/FEB02/OTM/NIFTY2620324900PE_strategy.html", "View")</f>
        <v/>
      </c>
      <c r="N166" t="inlineStr"/>
      <c r="O166" t="inlineStr"/>
      <c r="P166" t="inlineStr">
        <is>
          <t>NEUTRAL</t>
        </is>
      </c>
      <c r="Q166" t="inlineStr">
        <is>
          <t>INCLUDED</t>
        </is>
      </c>
      <c r="R166" t="n">
        <v>9.210000000000001</v>
      </c>
      <c r="S166" t="inlineStr">
        <is>
          <t>SuperTrend Stop Loss Exit</t>
        </is>
      </c>
      <c r="T166" t="n">
        <v>0.6603</v>
      </c>
      <c r="U166" t="n">
        <v>0.6603</v>
      </c>
      <c r="V166" t="inlineStr">
        <is>
          <t>2026-02-02</t>
        </is>
      </c>
      <c r="W166" t="inlineStr">
        <is>
          <t>Between R1 and S1</t>
        </is>
      </c>
      <c r="X166" t="n">
        <v>24921.99</v>
      </c>
      <c r="Y166" t="n">
        <v>25320.32</v>
      </c>
      <c r="Z166" t="n">
        <v>24451.17</v>
      </c>
      <c r="AA166" t="n">
        <v>25815.18</v>
      </c>
      <c r="AB166" t="n">
        <v>24076.88</v>
      </c>
      <c r="AC166" t="n">
        <v>26189.47</v>
      </c>
      <c r="AD166" t="n">
        <v>23582.02</v>
      </c>
    </row>
    <row r="167">
      <c r="A167">
        <f>HYPERLINK("../../data/FEB03_DYNAMIC/FEB02/OTM/NIFTY2620324850PE_strategy.csv", "NIFTY2620324850PE")</f>
        <v/>
      </c>
      <c r="B167" t="inlineStr">
        <is>
          <t>PE</t>
        </is>
      </c>
      <c r="C167" t="inlineStr">
        <is>
          <t>12:54:01</t>
        </is>
      </c>
      <c r="D167" t="inlineStr">
        <is>
          <t>12:56:00</t>
        </is>
      </c>
      <c r="E167" t="n">
        <v>99.55</v>
      </c>
      <c r="F167" t="n">
        <v>91.59</v>
      </c>
      <c r="G167" t="n">
        <v>144446.62</v>
      </c>
      <c r="H167" t="n">
        <v>170660</v>
      </c>
      <c r="I167" t="n">
        <v>119462</v>
      </c>
      <c r="J167" t="inlineStr">
        <is>
          <t>EXECUTED</t>
        </is>
      </c>
      <c r="K167" t="n">
        <v>0</v>
      </c>
      <c r="L167" t="n">
        <v>-10.45</v>
      </c>
      <c r="M167">
        <f>HYPERLINK("../../data/FEB03_DYNAMIC/FEB02/OTM/NIFTY2620324850PE_strategy.html", "View")</f>
        <v/>
      </c>
      <c r="N167" t="inlineStr"/>
      <c r="O167" t="inlineStr"/>
      <c r="P167" t="inlineStr">
        <is>
          <t>NEUTRAL</t>
        </is>
      </c>
      <c r="Q167" t="inlineStr">
        <is>
          <t>INCLUDED</t>
        </is>
      </c>
      <c r="R167" t="n">
        <v>-8</v>
      </c>
      <c r="S167" t="inlineStr">
        <is>
          <t>Fixed Stop Loss</t>
        </is>
      </c>
      <c r="T167" t="n">
        <v>0.359</v>
      </c>
      <c r="U167" t="inlineStr"/>
      <c r="V167" t="inlineStr">
        <is>
          <t>2026-02-02</t>
        </is>
      </c>
      <c r="W167" t="inlineStr">
        <is>
          <t>Between R1 and S1</t>
        </is>
      </c>
      <c r="X167" t="n">
        <v>24889.3</v>
      </c>
      <c r="Y167" t="n">
        <v>25320.32</v>
      </c>
      <c r="Z167" t="n">
        <v>24451.17</v>
      </c>
      <c r="AA167" t="n">
        <v>25815.18</v>
      </c>
      <c r="AB167" t="n">
        <v>24076.88</v>
      </c>
      <c r="AC167" t="n">
        <v>26189.47</v>
      </c>
      <c r="AD167" t="n">
        <v>23582.02</v>
      </c>
    </row>
    <row r="168">
      <c r="A168">
        <f>HYPERLINK("../../data/FEB03_DYNAMIC/FEB02/OTM/NIFTY2620324850PE_strategy.csv", "NIFTY2620324850PE")</f>
        <v/>
      </c>
      <c r="B168" t="inlineStr">
        <is>
          <t>PE</t>
        </is>
      </c>
      <c r="C168" t="inlineStr">
        <is>
          <t>12:26:01</t>
        </is>
      </c>
      <c r="D168" t="inlineStr">
        <is>
          <t>12:48:00</t>
        </is>
      </c>
      <c r="E168" t="n">
        <v>107.5</v>
      </c>
      <c r="F168" t="n">
        <v>98.90000000000001</v>
      </c>
      <c r="G168" t="n">
        <v>157007.2</v>
      </c>
      <c r="H168" t="n">
        <v>170660</v>
      </c>
      <c r="I168" t="n">
        <v>119462</v>
      </c>
      <c r="J168" t="inlineStr">
        <is>
          <t>EXECUTED</t>
        </is>
      </c>
      <c r="K168" t="n">
        <v>10.14</v>
      </c>
      <c r="L168" t="n">
        <v>-7.81</v>
      </c>
      <c r="M168">
        <f>HYPERLINK("../../data/FEB03_DYNAMIC/FEB02/OTM/NIFTY2620324850PE_strategy.html", "View")</f>
        <v/>
      </c>
      <c r="N168" t="inlineStr"/>
      <c r="O168" t="inlineStr"/>
      <c r="P168" t="inlineStr">
        <is>
          <t>NEUTRAL</t>
        </is>
      </c>
      <c r="Q168" t="inlineStr">
        <is>
          <t>INCLUDED</t>
        </is>
      </c>
      <c r="R168" t="n">
        <v>-8</v>
      </c>
      <c r="S168" t="inlineStr">
        <is>
          <t>Fixed Stop Loss</t>
        </is>
      </c>
      <c r="T168" t="n">
        <v>0.4561</v>
      </c>
      <c r="U168" t="n">
        <v>0.7476</v>
      </c>
      <c r="V168" t="inlineStr">
        <is>
          <t>2026-02-02</t>
        </is>
      </c>
      <c r="W168" t="inlineStr">
        <is>
          <t>Between R1 and S1</t>
        </is>
      </c>
      <c r="X168" t="n">
        <v>24889.08</v>
      </c>
      <c r="Y168" t="n">
        <v>25320.32</v>
      </c>
      <c r="Z168" t="n">
        <v>24451.17</v>
      </c>
      <c r="AA168" t="n">
        <v>25815.18</v>
      </c>
      <c r="AB168" t="n">
        <v>24076.88</v>
      </c>
      <c r="AC168" t="n">
        <v>26189.47</v>
      </c>
      <c r="AD168" t="n">
        <v>23582.02</v>
      </c>
    </row>
    <row r="169">
      <c r="A169">
        <f>HYPERLINK("../../data/FEB03_DYNAMIC/FEB02/OTM/NIFTY2620324750CE_strategy.csv", "NIFTY2620324750CE")</f>
        <v/>
      </c>
      <c r="B169" t="inlineStr">
        <is>
          <t>CE</t>
        </is>
      </c>
      <c r="C169" t="inlineStr">
        <is>
          <t>11:30:01</t>
        </is>
      </c>
      <c r="D169" t="inlineStr">
        <is>
          <t>12:10:00</t>
        </is>
      </c>
      <c r="E169" t="n">
        <v>112.8</v>
      </c>
      <c r="F169" t="n">
        <v>192.5</v>
      </c>
      <c r="G169" t="n">
        <v>170660</v>
      </c>
      <c r="H169" t="n">
        <v>170660</v>
      </c>
      <c r="I169" t="n">
        <v>119462</v>
      </c>
      <c r="J169" t="inlineStr">
        <is>
          <t>EXECUTED</t>
        </is>
      </c>
      <c r="K169" t="n">
        <v>83.95</v>
      </c>
      <c r="L169" t="n">
        <v>-14.41</v>
      </c>
      <c r="M169">
        <f>HYPERLINK("../../data/FEB03_DYNAMIC/FEB02/OTM/NIFTY2620324750CE_strategy.html", "View")</f>
        <v/>
      </c>
      <c r="N169" t="inlineStr"/>
      <c r="O169" t="inlineStr"/>
      <c r="P169" t="inlineStr">
        <is>
          <t>NEUTRAL</t>
        </is>
      </c>
      <c r="Q169" t="inlineStr">
        <is>
          <t>INCLUDED</t>
        </is>
      </c>
      <c r="R169" t="n">
        <v>70.66</v>
      </c>
      <c r="S169" t="inlineStr">
        <is>
          <t>Dynamic Trailing MA (Fast/Slow MA)</t>
        </is>
      </c>
      <c r="T169" t="n">
        <v>0.5551</v>
      </c>
      <c r="U169" t="n">
        <v>0.5888</v>
      </c>
      <c r="V169" t="inlineStr">
        <is>
          <t>2026-02-02</t>
        </is>
      </c>
      <c r="W169" t="inlineStr">
        <is>
          <t>Between R1 and S1</t>
        </is>
      </c>
      <c r="X169" t="n">
        <v>24737.56</v>
      </c>
      <c r="Y169" t="n">
        <v>25320.32</v>
      </c>
      <c r="Z169" t="n">
        <v>24451.17</v>
      </c>
      <c r="AA169" t="n">
        <v>25815.18</v>
      </c>
      <c r="AB169" t="n">
        <v>24076.88</v>
      </c>
      <c r="AC169" t="n">
        <v>26189.47</v>
      </c>
      <c r="AD169" t="n">
        <v>23582.02</v>
      </c>
    </row>
    <row r="170">
      <c r="A170">
        <f>HYPERLINK("../../data/FEB10_DYNAMIC/FEB04/OTM/NIFTY2621025800PE_strategy.csv", "NIFTY2621025800PE")</f>
        <v/>
      </c>
      <c r="B170" t="inlineStr">
        <is>
          <t>PE</t>
        </is>
      </c>
      <c r="C170" t="inlineStr">
        <is>
          <t>14:25:01</t>
        </is>
      </c>
      <c r="D170" t="inlineStr">
        <is>
          <t>15:00:00</t>
        </is>
      </c>
      <c r="E170" t="n">
        <v>143.1</v>
      </c>
      <c r="F170" t="n">
        <v>144.57</v>
      </c>
      <c r="G170" t="n">
        <v>76236.71000000001</v>
      </c>
      <c r="H170" t="n">
        <v>100000</v>
      </c>
      <c r="I170" t="n">
        <v>70000</v>
      </c>
      <c r="J170" t="inlineStr">
        <is>
          <t>EXECUTED</t>
        </is>
      </c>
      <c r="K170" t="n">
        <v>9.15</v>
      </c>
      <c r="L170" t="n">
        <v>-6.01</v>
      </c>
      <c r="M170">
        <f>HYPERLINK("../../data/FEB10_DYNAMIC/FEB04/OTM/NIFTY2621025800PE_strategy.html", "View")</f>
        <v/>
      </c>
      <c r="N170" t="inlineStr"/>
      <c r="O170" t="inlineStr"/>
      <c r="P170" t="inlineStr">
        <is>
          <t>BEARISH</t>
        </is>
      </c>
      <c r="Q170" t="inlineStr">
        <is>
          <t>INCLUDED (HYBRID_v5_BEARISH_PE)</t>
        </is>
      </c>
      <c r="R170" t="n">
        <v>1.03</v>
      </c>
      <c r="S170" t="inlineStr">
        <is>
          <t>SuperTrend Stop Loss Exit</t>
        </is>
      </c>
      <c r="T170" t="n">
        <v>0.3214</v>
      </c>
      <c r="U170" t="n">
        <v>0.7131</v>
      </c>
      <c r="V170" t="inlineStr">
        <is>
          <t>2026-02-04</t>
        </is>
      </c>
      <c r="W170" t="inlineStr">
        <is>
          <t>Between R1 and S1</t>
        </is>
      </c>
      <c r="X170" t="n">
        <v>25798.04</v>
      </c>
      <c r="Y170" t="n">
        <v>26165.4</v>
      </c>
      <c r="Z170" t="n">
        <v>25465.5</v>
      </c>
      <c r="AA170" t="n">
        <v>26603.25</v>
      </c>
      <c r="AB170" t="n">
        <v>25203.45</v>
      </c>
      <c r="AC170" t="n">
        <v>26865.3</v>
      </c>
      <c r="AD170" t="n">
        <v>24765.6</v>
      </c>
    </row>
    <row r="171">
      <c r="A171">
        <f>HYPERLINK("../../data/FEB10_DYNAMIC/FEB04/OTM/NIFTY2621025750CE_strategy.csv", "NIFTY2621025750CE")</f>
        <v/>
      </c>
      <c r="B171" t="inlineStr">
        <is>
          <t>CE</t>
        </is>
      </c>
      <c r="C171" t="inlineStr">
        <is>
          <t>12:38:01</t>
        </is>
      </c>
      <c r="D171" t="inlineStr">
        <is>
          <t>12:45:00</t>
        </is>
      </c>
      <c r="E171" t="n">
        <v>162</v>
      </c>
      <c r="F171" t="n">
        <v>156.43</v>
      </c>
      <c r="G171" t="n">
        <v>75459.48</v>
      </c>
      <c r="H171" t="n">
        <v>100000</v>
      </c>
      <c r="I171" t="n">
        <v>70000</v>
      </c>
      <c r="J171" t="inlineStr">
        <is>
          <t>EXECUTED</t>
        </is>
      </c>
      <c r="K171" t="n">
        <v>7.1</v>
      </c>
      <c r="L171" t="n">
        <v>-5.15</v>
      </c>
      <c r="M171">
        <f>HYPERLINK("../../data/FEB10_DYNAMIC/FEB04/OTM/NIFTY2621025750CE_strategy.html", "View")</f>
        <v/>
      </c>
      <c r="N171" t="inlineStr"/>
      <c r="O171" t="inlineStr"/>
      <c r="P171" t="inlineStr">
        <is>
          <t>BULLISH</t>
        </is>
      </c>
      <c r="Q171" t="inlineStr">
        <is>
          <t>INCLUDED (HYBRID_v5_BULLISH_CE)</t>
        </is>
      </c>
      <c r="R171" t="n">
        <v>-3.44</v>
      </c>
      <c r="S171" t="inlineStr">
        <is>
          <t>SuperTrend Stop Loss Exit</t>
        </is>
      </c>
      <c r="T171" t="n">
        <v>0.5345</v>
      </c>
      <c r="U171" t="n">
        <v>0.5205</v>
      </c>
      <c r="V171" t="inlineStr">
        <is>
          <t>2026-02-04</t>
        </is>
      </c>
      <c r="W171" t="inlineStr">
        <is>
          <t>Between R1 and S1</t>
        </is>
      </c>
      <c r="X171" t="n">
        <v>25739.34</v>
      </c>
      <c r="Y171" t="n">
        <v>26165.4</v>
      </c>
      <c r="Z171" t="n">
        <v>25465.5</v>
      </c>
      <c r="AA171" t="n">
        <v>26603.25</v>
      </c>
      <c r="AB171" t="n">
        <v>25203.45</v>
      </c>
      <c r="AC171" t="n">
        <v>26865.3</v>
      </c>
      <c r="AD171" t="n">
        <v>24765.6</v>
      </c>
    </row>
    <row r="172">
      <c r="A172">
        <f>HYPERLINK("../../data/FEB10_DYNAMIC/FEB04/OTM/NIFTY2621025700PE_strategy.csv", "NIFTY2621025700PE")</f>
        <v/>
      </c>
      <c r="B172" t="inlineStr">
        <is>
          <t>PE</t>
        </is>
      </c>
      <c r="C172" t="inlineStr">
        <is>
          <t>12:32:01</t>
        </is>
      </c>
      <c r="D172" t="inlineStr">
        <is>
          <t>12:40:00</t>
        </is>
      </c>
      <c r="E172" t="n">
        <v>133.4</v>
      </c>
      <c r="F172" t="n">
        <v>124.73</v>
      </c>
      <c r="G172" t="n">
        <v>78147.75999999999</v>
      </c>
      <c r="H172" t="n">
        <v>100000</v>
      </c>
      <c r="I172" t="n">
        <v>70000</v>
      </c>
      <c r="J172" t="inlineStr">
        <is>
          <t>EXECUTED</t>
        </is>
      </c>
      <c r="K172" t="n">
        <v>1.57</v>
      </c>
      <c r="L172" t="n">
        <v>-8.4</v>
      </c>
      <c r="M172">
        <f>HYPERLINK("../../data/FEB10_DYNAMIC/FEB04/OTM/NIFTY2621025700PE_strategy.html", "View")</f>
        <v/>
      </c>
      <c r="N172" t="inlineStr"/>
      <c r="O172" t="inlineStr"/>
      <c r="P172" t="inlineStr">
        <is>
          <t>NEUTRAL</t>
        </is>
      </c>
      <c r="Q172" t="inlineStr">
        <is>
          <t>INCLUDED</t>
        </is>
      </c>
      <c r="R172" t="n">
        <v>-6.5</v>
      </c>
      <c r="S172" t="inlineStr">
        <is>
          <t>Fixed Stop Loss</t>
        </is>
      </c>
      <c r="T172" t="n">
        <v>0.5474</v>
      </c>
      <c r="U172" t="inlineStr"/>
      <c r="V172" t="inlineStr">
        <is>
          <t>2026-02-04</t>
        </is>
      </c>
      <c r="W172" t="inlineStr">
        <is>
          <t>Between R1 and S1</t>
        </is>
      </c>
      <c r="X172" t="n">
        <v>25736.41</v>
      </c>
      <c r="Y172" t="n">
        <v>26165.4</v>
      </c>
      <c r="Z172" t="n">
        <v>25465.5</v>
      </c>
      <c r="AA172" t="n">
        <v>26603.25</v>
      </c>
      <c r="AB172" t="n">
        <v>25203.45</v>
      </c>
      <c r="AC172" t="n">
        <v>26865.3</v>
      </c>
      <c r="AD172" t="n">
        <v>24765.6</v>
      </c>
    </row>
    <row r="173">
      <c r="A173">
        <f>HYPERLINK("../../data/FEB10_DYNAMIC/FEB04/OTM/NIFTY2621025700PE_strategy.csv", "NIFTY2621025700PE")</f>
        <v/>
      </c>
      <c r="B173" t="inlineStr">
        <is>
          <t>PE</t>
        </is>
      </c>
      <c r="C173" t="inlineStr">
        <is>
          <t>12:23:01</t>
        </is>
      </c>
      <c r="D173" t="inlineStr">
        <is>
          <t>12:26:00</t>
        </is>
      </c>
      <c r="E173" t="n">
        <v>137.15</v>
      </c>
      <c r="F173" t="n">
        <v>128.24</v>
      </c>
      <c r="G173" t="n">
        <v>83580.5</v>
      </c>
      <c r="H173" t="n">
        <v>100000</v>
      </c>
      <c r="I173" t="n">
        <v>70000</v>
      </c>
      <c r="J173" t="inlineStr">
        <is>
          <t>EXECUTED</t>
        </is>
      </c>
      <c r="K173" t="n">
        <v>0.95</v>
      </c>
      <c r="L173" t="n">
        <v>-5.43</v>
      </c>
      <c r="M173">
        <f>HYPERLINK("../../data/FEB10_DYNAMIC/FEB04/OTM/NIFTY2621025700PE_strategy.html", "View")</f>
        <v/>
      </c>
      <c r="N173" t="inlineStr"/>
      <c r="O173" t="inlineStr"/>
      <c r="P173" t="inlineStr">
        <is>
          <t>NEUTRAL</t>
        </is>
      </c>
      <c r="Q173" t="inlineStr">
        <is>
          <t>INCLUDED</t>
        </is>
      </c>
      <c r="R173" t="n">
        <v>-6.5</v>
      </c>
      <c r="S173" t="inlineStr">
        <is>
          <t>Fixed Stop Loss</t>
        </is>
      </c>
      <c r="T173" t="n">
        <v>0.5859</v>
      </c>
      <c r="U173" t="inlineStr"/>
      <c r="V173" t="inlineStr">
        <is>
          <t>2026-02-04</t>
        </is>
      </c>
      <c r="W173" t="inlineStr">
        <is>
          <t>Between R1 and S1</t>
        </is>
      </c>
      <c r="X173" t="n">
        <v>25730.19</v>
      </c>
      <c r="Y173" t="n">
        <v>26165.4</v>
      </c>
      <c r="Z173" t="n">
        <v>25465.5</v>
      </c>
      <c r="AA173" t="n">
        <v>26603.25</v>
      </c>
      <c r="AB173" t="n">
        <v>25203.45</v>
      </c>
      <c r="AC173" t="n">
        <v>26865.3</v>
      </c>
      <c r="AD173" t="n">
        <v>24765.6</v>
      </c>
    </row>
    <row r="174">
      <c r="A174">
        <f>HYPERLINK("../../data/FEB10_DYNAMIC/FEB04/OTM/NIFTY2621025750CE_strategy.csv", "NIFTY2621025750CE")</f>
        <v/>
      </c>
      <c r="B174" t="inlineStr">
        <is>
          <t>CE</t>
        </is>
      </c>
      <c r="C174" t="inlineStr">
        <is>
          <t>11:54:01</t>
        </is>
      </c>
      <c r="D174" t="inlineStr">
        <is>
          <t>12:11:00</t>
        </is>
      </c>
      <c r="E174" t="n">
        <v>150.65</v>
      </c>
      <c r="F174" t="n">
        <v>164.75</v>
      </c>
      <c r="G174" t="n">
        <v>89390.91</v>
      </c>
      <c r="H174" t="n">
        <v>100000</v>
      </c>
      <c r="I174" t="n">
        <v>70000</v>
      </c>
      <c r="J174" t="inlineStr">
        <is>
          <t>EXECUTED</t>
        </is>
      </c>
      <c r="K174" t="n">
        <v>9.890000000000001</v>
      </c>
      <c r="L174" t="n">
        <v>-3.88</v>
      </c>
      <c r="M174">
        <f>HYPERLINK("../../data/FEB10_DYNAMIC/FEB04/OTM/NIFTY2621025750CE_strategy.html", "View")</f>
        <v/>
      </c>
      <c r="N174" t="inlineStr"/>
      <c r="O174" t="inlineStr"/>
      <c r="P174" t="inlineStr">
        <is>
          <t>NEUTRAL</t>
        </is>
      </c>
      <c r="Q174" t="inlineStr">
        <is>
          <t>INCLUDED</t>
        </is>
      </c>
      <c r="R174" t="n">
        <v>9.359999999999999</v>
      </c>
      <c r="S174" t="inlineStr">
        <is>
          <t>Dynamic Trailing MA (Fast/Slow MA)</t>
        </is>
      </c>
      <c r="T174" t="n">
        <v>0.5828</v>
      </c>
      <c r="U174" t="n">
        <v>0.5641</v>
      </c>
      <c r="V174" t="inlineStr">
        <is>
          <t>2026-02-04</t>
        </is>
      </c>
      <c r="W174" t="inlineStr">
        <is>
          <t>Between R1 and S1</t>
        </is>
      </c>
      <c r="X174" t="n">
        <v>25712.74</v>
      </c>
      <c r="Y174" t="n">
        <v>26165.4</v>
      </c>
      <c r="Z174" t="n">
        <v>25465.5</v>
      </c>
      <c r="AA174" t="n">
        <v>26603.25</v>
      </c>
      <c r="AB174" t="n">
        <v>25203.45</v>
      </c>
      <c r="AC174" t="n">
        <v>26865.3</v>
      </c>
      <c r="AD174" t="n">
        <v>24765.6</v>
      </c>
    </row>
    <row r="175">
      <c r="A175">
        <f>HYPERLINK("../../data/FEB10_DYNAMIC/FEB04/OTM/NIFTY2621025700PE_strategy.csv", "NIFTY2621025700PE")</f>
        <v/>
      </c>
      <c r="B175" t="inlineStr">
        <is>
          <t>PE</t>
        </is>
      </c>
      <c r="C175" t="inlineStr">
        <is>
          <t>11:52:01</t>
        </is>
      </c>
      <c r="D175" t="inlineStr">
        <is>
          <t>11:54:00</t>
        </is>
      </c>
      <c r="E175" t="n">
        <v>157</v>
      </c>
      <c r="F175" t="n">
        <v>146.8</v>
      </c>
      <c r="G175" t="n">
        <v>81740.03999999999</v>
      </c>
      <c r="H175" t="n">
        <v>100000</v>
      </c>
      <c r="I175" t="n">
        <v>70000</v>
      </c>
      <c r="J175" t="inlineStr">
        <is>
          <t>EXECUTED</t>
        </is>
      </c>
      <c r="K175" t="n">
        <v>0</v>
      </c>
      <c r="L175" t="n">
        <v>-6.94</v>
      </c>
      <c r="M175">
        <f>HYPERLINK("../../data/FEB10_DYNAMIC/FEB04/OTM/NIFTY2621025700PE_strategy.html", "View")</f>
        <v/>
      </c>
      <c r="N175" t="inlineStr"/>
      <c r="O175" t="inlineStr"/>
      <c r="P175" t="inlineStr">
        <is>
          <t>NEUTRAL</t>
        </is>
      </c>
      <c r="Q175" t="inlineStr">
        <is>
          <t>INCLUDED</t>
        </is>
      </c>
      <c r="R175" t="n">
        <v>-6.5</v>
      </c>
      <c r="S175" t="inlineStr">
        <is>
          <t>Fixed Stop Loss</t>
        </is>
      </c>
      <c r="T175" t="n">
        <v>0.5108</v>
      </c>
      <c r="U175" t="inlineStr"/>
      <c r="V175" t="inlineStr">
        <is>
          <t>2026-02-04</t>
        </is>
      </c>
      <c r="W175" t="inlineStr">
        <is>
          <t>Between R1 and S1</t>
        </is>
      </c>
      <c r="X175" t="n">
        <v>25699.79</v>
      </c>
      <c r="Y175" t="n">
        <v>26165.4</v>
      </c>
      <c r="Z175" t="n">
        <v>25465.5</v>
      </c>
      <c r="AA175" t="n">
        <v>26603.25</v>
      </c>
      <c r="AB175" t="n">
        <v>25203.45</v>
      </c>
      <c r="AC175" t="n">
        <v>26865.3</v>
      </c>
      <c r="AD175" t="n">
        <v>24765.6</v>
      </c>
    </row>
    <row r="176">
      <c r="A176">
        <f>HYPERLINK("../../data/FEB10_DYNAMIC/FEB04/OTM/NIFTY2621025750CE_strategy.csv", "NIFTY2621025750CE")</f>
        <v/>
      </c>
      <c r="B176" t="inlineStr">
        <is>
          <t>CE</t>
        </is>
      </c>
      <c r="C176" t="inlineStr">
        <is>
          <t>11:42:01</t>
        </is>
      </c>
      <c r="D176" t="inlineStr">
        <is>
          <t>11:51:00</t>
        </is>
      </c>
      <c r="E176" t="n">
        <v>155.55</v>
      </c>
      <c r="F176" t="n">
        <v>145.44</v>
      </c>
      <c r="G176" t="n">
        <v>87422.5</v>
      </c>
      <c r="H176" t="n">
        <v>100000</v>
      </c>
      <c r="I176" t="n">
        <v>70000</v>
      </c>
      <c r="J176" t="inlineStr">
        <is>
          <t>EXECUTED</t>
        </is>
      </c>
      <c r="K176" t="n">
        <v>2.86</v>
      </c>
      <c r="L176" t="n">
        <v>-5.01</v>
      </c>
      <c r="M176">
        <f>HYPERLINK("../../data/FEB10_DYNAMIC/FEB04/OTM/NIFTY2621025750CE_strategy.html", "View")</f>
        <v/>
      </c>
      <c r="N176" t="inlineStr"/>
      <c r="O176" t="inlineStr"/>
      <c r="P176" t="inlineStr">
        <is>
          <t>NEUTRAL</t>
        </is>
      </c>
      <c r="Q176" t="inlineStr">
        <is>
          <t>INCLUDED</t>
        </is>
      </c>
      <c r="R176" t="n">
        <v>-6.5</v>
      </c>
      <c r="S176" t="inlineStr">
        <is>
          <t>Fixed Stop Loss</t>
        </is>
      </c>
      <c r="T176" t="n">
        <v>0.5847</v>
      </c>
      <c r="U176" t="inlineStr"/>
      <c r="V176" t="inlineStr">
        <is>
          <t>2026-02-04</t>
        </is>
      </c>
      <c r="W176" t="inlineStr">
        <is>
          <t>Between R1 and S1</t>
        </is>
      </c>
      <c r="X176" t="n">
        <v>25718.76</v>
      </c>
      <c r="Y176" t="n">
        <v>26165.4</v>
      </c>
      <c r="Z176" t="n">
        <v>25465.5</v>
      </c>
      <c r="AA176" t="n">
        <v>26603.25</v>
      </c>
      <c r="AB176" t="n">
        <v>25203.45</v>
      </c>
      <c r="AC176" t="n">
        <v>26865.3</v>
      </c>
      <c r="AD176" t="n">
        <v>24765.6</v>
      </c>
    </row>
    <row r="177">
      <c r="A177">
        <f>HYPERLINK("../../data/FEB10_DYNAMIC/FEB04/OTM/NIFTY2621025750CE_strategy.csv", "NIFTY2621025750CE")</f>
        <v/>
      </c>
      <c r="B177" t="inlineStr">
        <is>
          <t>CE</t>
        </is>
      </c>
      <c r="C177" t="inlineStr">
        <is>
          <t>10:42:01</t>
        </is>
      </c>
      <c r="D177" t="inlineStr">
        <is>
          <t>11:10:00</t>
        </is>
      </c>
      <c r="E177" t="n">
        <v>171.1</v>
      </c>
      <c r="F177" t="n">
        <v>159.98</v>
      </c>
      <c r="G177" t="n">
        <v>93500</v>
      </c>
      <c r="H177" t="n">
        <v>100000</v>
      </c>
      <c r="I177" t="n">
        <v>70000</v>
      </c>
      <c r="J177" t="inlineStr">
        <is>
          <t>EXECUTED</t>
        </is>
      </c>
      <c r="K177" t="n">
        <v>4.65</v>
      </c>
      <c r="L177" t="n">
        <v>-8.529999999999999</v>
      </c>
      <c r="M177">
        <f>HYPERLINK("../../data/FEB10_DYNAMIC/FEB04/OTM/NIFTY2621025750CE_strategy.html", "View")</f>
        <v/>
      </c>
      <c r="N177" t="inlineStr"/>
      <c r="O177" t="inlineStr"/>
      <c r="P177" t="inlineStr">
        <is>
          <t>NEUTRAL</t>
        </is>
      </c>
      <c r="Q177" t="inlineStr">
        <is>
          <t>INCLUDED</t>
        </is>
      </c>
      <c r="R177" t="n">
        <v>-6.5</v>
      </c>
      <c r="S177" t="inlineStr">
        <is>
          <t>Fixed SL Exit</t>
        </is>
      </c>
      <c r="T177" t="n">
        <v>0.4513</v>
      </c>
      <c r="U177" t="inlineStr"/>
      <c r="V177" t="inlineStr">
        <is>
          <t>2026-02-04</t>
        </is>
      </c>
      <c r="W177" t="inlineStr">
        <is>
          <t>Between R1 and S1</t>
        </is>
      </c>
      <c r="X177" t="n">
        <v>25732.62</v>
      </c>
      <c r="Y177" t="n">
        <v>26165.4</v>
      </c>
      <c r="Z177" t="n">
        <v>25465.5</v>
      </c>
      <c r="AA177" t="n">
        <v>26603.25</v>
      </c>
      <c r="AB177" t="n">
        <v>25203.45</v>
      </c>
      <c r="AC177" t="n">
        <v>26865.3</v>
      </c>
      <c r="AD177" t="n">
        <v>24765.6</v>
      </c>
    </row>
    <row r="178">
      <c r="A178">
        <f>HYPERLINK("../../data/FEB10_DYNAMIC/FEB05/OTM/NIFTY2621025650CE_strategy.csv", "NIFTY2621025650CE")</f>
        <v/>
      </c>
      <c r="B178" t="inlineStr">
        <is>
          <t>CE</t>
        </is>
      </c>
      <c r="C178" t="inlineStr">
        <is>
          <t>13:35:01</t>
        </is>
      </c>
      <c r="D178" t="inlineStr">
        <is>
          <t>13:55:00</t>
        </is>
      </c>
      <c r="E178" t="n">
        <v>137</v>
      </c>
      <c r="F178" t="n">
        <v>135.18</v>
      </c>
      <c r="G178" t="n">
        <v>98998.69</v>
      </c>
      <c r="H178" t="n">
        <v>110419.76</v>
      </c>
      <c r="I178" t="n">
        <v>77293.83</v>
      </c>
      <c r="J178" t="inlineStr">
        <is>
          <t>EXECUTED</t>
        </is>
      </c>
      <c r="K178" t="n">
        <v>6.57</v>
      </c>
      <c r="L178" t="n">
        <v>-5.18</v>
      </c>
      <c r="M178">
        <f>HYPERLINK("../../data/FEB10_DYNAMIC/FEB05/OTM/NIFTY2621025650CE_strategy.html", "View")</f>
        <v/>
      </c>
      <c r="N178" t="inlineStr"/>
      <c r="O178" t="inlineStr"/>
      <c r="P178" t="inlineStr">
        <is>
          <t>BULLISH</t>
        </is>
      </c>
      <c r="Q178" t="inlineStr">
        <is>
          <t>INCLUDED (HYBRID_v5_BULLISH_CE)</t>
        </is>
      </c>
      <c r="R178" t="n">
        <v>-1.33</v>
      </c>
      <c r="S178" t="inlineStr">
        <is>
          <t>SuperTrend Stop Loss Exit</t>
        </is>
      </c>
      <c r="T178" t="n">
        <v>0.3356</v>
      </c>
      <c r="U178" t="inlineStr"/>
      <c r="V178" t="inlineStr">
        <is>
          <t>2026-02-05</t>
        </is>
      </c>
      <c r="W178" t="inlineStr">
        <is>
          <t>Between R1 and S1</t>
        </is>
      </c>
      <c r="X178" t="n">
        <v>25634.6</v>
      </c>
      <c r="Y178" t="n">
        <v>25875.05</v>
      </c>
      <c r="Z178" t="n">
        <v>25620.45</v>
      </c>
      <c r="AA178" t="n">
        <v>25974.1</v>
      </c>
      <c r="AB178" t="n">
        <v>25464.9</v>
      </c>
      <c r="AC178" t="n">
        <v>26129.65</v>
      </c>
      <c r="AD178" t="n">
        <v>25365.85</v>
      </c>
    </row>
    <row r="179">
      <c r="A179">
        <f>HYPERLINK("../../data/FEB10_DYNAMIC/FEB05/OTM/NIFTY2621025650CE_strategy.csv", "NIFTY2621025650CE")</f>
        <v/>
      </c>
      <c r="B179" t="inlineStr">
        <is>
          <t>CE</t>
        </is>
      </c>
      <c r="C179" t="inlineStr">
        <is>
          <t>12:30:01</t>
        </is>
      </c>
      <c r="D179" t="inlineStr">
        <is>
          <t>13:17:00</t>
        </is>
      </c>
      <c r="E179" t="n">
        <v>137.7</v>
      </c>
      <c r="F179" t="n">
        <v>141.8</v>
      </c>
      <c r="G179" t="n">
        <v>100333.12</v>
      </c>
      <c r="H179" t="n">
        <v>110419.76</v>
      </c>
      <c r="I179" t="n">
        <v>77293.83</v>
      </c>
      <c r="J179" t="inlineStr">
        <is>
          <t>EXECUTED</t>
        </is>
      </c>
      <c r="K179" t="n">
        <v>7.48</v>
      </c>
      <c r="L179" t="n">
        <v>-3.16</v>
      </c>
      <c r="M179">
        <f>HYPERLINK("../../data/FEB10_DYNAMIC/FEB05/OTM/NIFTY2621025650CE_strategy.html", "View")</f>
        <v/>
      </c>
      <c r="N179" t="inlineStr"/>
      <c r="O179" t="inlineStr"/>
      <c r="P179" t="inlineStr">
        <is>
          <t>BULLISH</t>
        </is>
      </c>
      <c r="Q179" t="inlineStr">
        <is>
          <t>INCLUDED (HYBRID_v5_BULLISH_CE)</t>
        </is>
      </c>
      <c r="R179" t="n">
        <v>2.98</v>
      </c>
      <c r="S179" t="inlineStr">
        <is>
          <t>Dynamic Trailing MA (Fast/Slow MA)</t>
        </is>
      </c>
      <c r="T179" t="n">
        <v>0.3887</v>
      </c>
      <c r="U179" t="n">
        <v>0.5965</v>
      </c>
      <c r="V179" t="inlineStr">
        <is>
          <t>2026-02-05</t>
        </is>
      </c>
      <c r="W179" t="inlineStr">
        <is>
          <t>Between R1 and S1</t>
        </is>
      </c>
      <c r="X179" t="n">
        <v>25621.75</v>
      </c>
      <c r="Y179" t="n">
        <v>25875.05</v>
      </c>
      <c r="Z179" t="n">
        <v>25620.45</v>
      </c>
      <c r="AA179" t="n">
        <v>25974.1</v>
      </c>
      <c r="AB179" t="n">
        <v>25464.9</v>
      </c>
      <c r="AC179" t="n">
        <v>26129.65</v>
      </c>
      <c r="AD179" t="n">
        <v>25365.85</v>
      </c>
    </row>
    <row r="180">
      <c r="A180">
        <f>HYPERLINK("../../data/FEB10_DYNAMIC/FEB05/OTM/NIFTY2621025650PE_strategy.csv", "NIFTY2621025650PE")</f>
        <v/>
      </c>
      <c r="B180" t="inlineStr">
        <is>
          <t>PE</t>
        </is>
      </c>
      <c r="C180" t="inlineStr">
        <is>
          <t>11:48:01</t>
        </is>
      </c>
      <c r="D180" t="inlineStr">
        <is>
          <t>12:07:00</t>
        </is>
      </c>
      <c r="E180" t="n">
        <v>126.1</v>
      </c>
      <c r="F180" t="n">
        <v>127.6</v>
      </c>
      <c r="G180" t="n">
        <v>97429.71000000001</v>
      </c>
      <c r="H180" t="n">
        <v>110419.76</v>
      </c>
      <c r="I180" t="n">
        <v>77293.83</v>
      </c>
      <c r="J180" t="inlineStr">
        <is>
          <t>EXECUTED</t>
        </is>
      </c>
      <c r="K180" t="n">
        <v>9.16</v>
      </c>
      <c r="L180" t="n">
        <v>-6.7</v>
      </c>
      <c r="M180">
        <f>HYPERLINK("../../data/FEB10_DYNAMIC/FEB05/OTM/NIFTY2621025650PE_strategy.html", "View")</f>
        <v/>
      </c>
      <c r="N180" t="inlineStr"/>
      <c r="O180" t="inlineStr"/>
      <c r="P180" t="inlineStr">
        <is>
          <t>BEARISH</t>
        </is>
      </c>
      <c r="Q180" t="inlineStr">
        <is>
          <t>INCLUDED (HYBRID_v5_BEARISH_PE)</t>
        </is>
      </c>
      <c r="R180" t="n">
        <v>1.19</v>
      </c>
      <c r="S180" t="inlineStr">
        <is>
          <t>Dynamic Trailing MA (Fast/Slow MA)</t>
        </is>
      </c>
      <c r="T180" t="n">
        <v>0.4867</v>
      </c>
      <c r="U180" t="n">
        <v>0.5198</v>
      </c>
      <c r="V180" t="inlineStr">
        <is>
          <t>2026-02-05</t>
        </is>
      </c>
      <c r="W180" t="inlineStr">
        <is>
          <t>Between R1 and S1</t>
        </is>
      </c>
      <c r="X180" t="n">
        <v>25646.46</v>
      </c>
      <c r="Y180" t="n">
        <v>25875.05</v>
      </c>
      <c r="Z180" t="n">
        <v>25620.45</v>
      </c>
      <c r="AA180" t="n">
        <v>25974.1</v>
      </c>
      <c r="AB180" t="n">
        <v>25464.9</v>
      </c>
      <c r="AC180" t="n">
        <v>26129.65</v>
      </c>
      <c r="AD180" t="n">
        <v>25365.85</v>
      </c>
    </row>
    <row r="181">
      <c r="A181">
        <f>HYPERLINK("../../data/FEB10_DYNAMIC/FEB05/OTM/NIFTY2621025700CE_strategy.csv", "NIFTY2621025700CE")</f>
        <v/>
      </c>
      <c r="B181" t="inlineStr">
        <is>
          <t>CE</t>
        </is>
      </c>
      <c r="C181" t="inlineStr">
        <is>
          <t>11:38:01</t>
        </is>
      </c>
      <c r="D181" t="inlineStr">
        <is>
          <t>11:48:00</t>
        </is>
      </c>
      <c r="E181" t="n">
        <v>129.55</v>
      </c>
      <c r="F181" t="n">
        <v>120.82</v>
      </c>
      <c r="G181" t="n">
        <v>96283.92999999999</v>
      </c>
      <c r="H181" t="n">
        <v>110419.76</v>
      </c>
      <c r="I181" t="n">
        <v>77293.83</v>
      </c>
      <c r="J181" t="inlineStr">
        <is>
          <t>EXECUTED</t>
        </is>
      </c>
      <c r="K181" t="n">
        <v>3.71</v>
      </c>
      <c r="L181" t="n">
        <v>-6.79</v>
      </c>
      <c r="M181">
        <f>HYPERLINK("../../data/FEB10_DYNAMIC/FEB05/OTM/NIFTY2621025700CE_strategy.html", "View")</f>
        <v/>
      </c>
      <c r="N181" t="inlineStr"/>
      <c r="O181" t="inlineStr"/>
      <c r="P181" t="inlineStr">
        <is>
          <t>NEUTRAL</t>
        </is>
      </c>
      <c r="Q181" t="inlineStr">
        <is>
          <t>INCLUDED</t>
        </is>
      </c>
      <c r="R181" t="n">
        <v>-6.74</v>
      </c>
      <c r="S181" t="inlineStr">
        <is>
          <t>SuperTrend Stop Loss Exit</t>
        </is>
      </c>
      <c r="T181" t="n">
        <v>0.7046</v>
      </c>
      <c r="U181" t="inlineStr"/>
      <c r="V181" t="inlineStr">
        <is>
          <t>2026-02-05</t>
        </is>
      </c>
      <c r="W181" t="inlineStr">
        <is>
          <t>Between R1 and S1</t>
        </is>
      </c>
      <c r="X181" t="n">
        <v>25667.79</v>
      </c>
      <c r="Y181" t="n">
        <v>25875.05</v>
      </c>
      <c r="Z181" t="n">
        <v>25620.45</v>
      </c>
      <c r="AA181" t="n">
        <v>25974.1</v>
      </c>
      <c r="AB181" t="n">
        <v>25464.9</v>
      </c>
      <c r="AC181" t="n">
        <v>26129.65</v>
      </c>
      <c r="AD181" t="n">
        <v>25365.85</v>
      </c>
    </row>
    <row r="182">
      <c r="A182">
        <f>HYPERLINK("../../data/FEB10_DYNAMIC/FEB05/OTM/NIFTY2621025650PE_strategy.csv", "NIFTY2621025650PE")</f>
        <v/>
      </c>
      <c r="B182" t="inlineStr">
        <is>
          <t>PE</t>
        </is>
      </c>
      <c r="C182" t="inlineStr">
        <is>
          <t>11:20:01</t>
        </is>
      </c>
      <c r="D182" t="inlineStr">
        <is>
          <t>11:30:00</t>
        </is>
      </c>
      <c r="E182" t="n">
        <v>132.2</v>
      </c>
      <c r="F182" t="n">
        <v>123.61</v>
      </c>
      <c r="G182" t="n">
        <v>103242.48</v>
      </c>
      <c r="H182" t="n">
        <v>110419.76</v>
      </c>
      <c r="I182" t="n">
        <v>77293.83</v>
      </c>
      <c r="J182" t="inlineStr">
        <is>
          <t>EXECUTED</t>
        </is>
      </c>
      <c r="K182" t="n">
        <v>2.27</v>
      </c>
      <c r="L182" t="n">
        <v>-8.77</v>
      </c>
      <c r="M182">
        <f>HYPERLINK("../../data/FEB10_DYNAMIC/FEB05/OTM/NIFTY2621025650PE_strategy.html", "View")</f>
        <v/>
      </c>
      <c r="N182" t="inlineStr"/>
      <c r="O182" t="inlineStr"/>
      <c r="P182" t="inlineStr">
        <is>
          <t>BEARISH</t>
        </is>
      </c>
      <c r="Q182" t="inlineStr">
        <is>
          <t>INCLUDED (HYBRID_v5_BEARISH_PE)</t>
        </is>
      </c>
      <c r="R182" t="n">
        <v>-6.5</v>
      </c>
      <c r="S182" t="inlineStr">
        <is>
          <t>Fixed Stop Loss</t>
        </is>
      </c>
      <c r="T182" t="n">
        <v>0.459</v>
      </c>
      <c r="U182" t="inlineStr"/>
      <c r="V182" t="inlineStr">
        <is>
          <t>2026-02-05</t>
        </is>
      </c>
      <c r="W182" t="inlineStr">
        <is>
          <t>Between R1 and S1</t>
        </is>
      </c>
      <c r="X182" t="n">
        <v>25649.53</v>
      </c>
      <c r="Y182" t="n">
        <v>25875.05</v>
      </c>
      <c r="Z182" t="n">
        <v>25620.45</v>
      </c>
      <c r="AA182" t="n">
        <v>25974.1</v>
      </c>
      <c r="AB182" t="n">
        <v>25464.9</v>
      </c>
      <c r="AC182" t="n">
        <v>26129.65</v>
      </c>
      <c r="AD182" t="n">
        <v>25365.85</v>
      </c>
    </row>
    <row r="183">
      <c r="A183">
        <f>HYPERLINK("../../data/FEB10_DYNAMIC/FEB05/OTM/NIFTY2621025650CE_strategy.csv", "NIFTY2621025650CE")</f>
        <v/>
      </c>
      <c r="B183" t="inlineStr">
        <is>
          <t>CE</t>
        </is>
      </c>
      <c r="C183" t="inlineStr">
        <is>
          <t>11:03:01</t>
        </is>
      </c>
      <c r="D183" t="inlineStr">
        <is>
          <t>11:19:00</t>
        </is>
      </c>
      <c r="E183" t="n">
        <v>143</v>
      </c>
      <c r="F183" t="n">
        <v>147.07</v>
      </c>
      <c r="G183" t="n">
        <v>110419.76</v>
      </c>
      <c r="H183" t="n">
        <v>110419.76</v>
      </c>
      <c r="I183" t="n">
        <v>77293.83</v>
      </c>
      <c r="J183" t="inlineStr">
        <is>
          <t>EXECUTED</t>
        </is>
      </c>
      <c r="K183" t="n">
        <v>12.52</v>
      </c>
      <c r="L183" t="n">
        <v>-5.17</v>
      </c>
      <c r="M183">
        <f>HYPERLINK("../../data/FEB10_DYNAMIC/FEB05/OTM/NIFTY2621025650CE_strategy.html", "View")</f>
        <v/>
      </c>
      <c r="N183" t="inlineStr"/>
      <c r="O183" t="inlineStr"/>
      <c r="P183" t="inlineStr">
        <is>
          <t>BULLISH</t>
        </is>
      </c>
      <c r="Q183" t="inlineStr">
        <is>
          <t>INCLUDED (HYBRID_v5_BULLISH_CE)</t>
        </is>
      </c>
      <c r="R183" t="n">
        <v>2.85</v>
      </c>
      <c r="S183" t="inlineStr">
        <is>
          <t>SuperTrend Stop Loss Exit</t>
        </is>
      </c>
      <c r="T183" t="n">
        <v>0.3654</v>
      </c>
      <c r="U183" t="n">
        <v>0.5793</v>
      </c>
      <c r="V183" t="inlineStr">
        <is>
          <t>2026-02-05</t>
        </is>
      </c>
      <c r="W183" t="inlineStr">
        <is>
          <t>Between R1 and S1</t>
        </is>
      </c>
      <c r="X183" t="n">
        <v>25636.6</v>
      </c>
      <c r="Y183" t="n">
        <v>25875.05</v>
      </c>
      <c r="Z183" t="n">
        <v>25620.45</v>
      </c>
      <c r="AA183" t="n">
        <v>25974.1</v>
      </c>
      <c r="AB183" t="n">
        <v>25464.9</v>
      </c>
      <c r="AC183" t="n">
        <v>26129.65</v>
      </c>
      <c r="AD183" t="n">
        <v>25365.85</v>
      </c>
    </row>
    <row r="184">
      <c r="A184">
        <f>HYPERLINK("../../data/FEB10_DYNAMIC/FEB05/OTM/NIFTY2621025650PE_strategy.csv", "NIFTY2621025650PE")</f>
        <v/>
      </c>
      <c r="B184" t="inlineStr">
        <is>
          <t>PE</t>
        </is>
      </c>
      <c r="C184" t="inlineStr">
        <is>
          <t>10:31:01</t>
        </is>
      </c>
      <c r="D184" t="inlineStr">
        <is>
          <t>11:07:00</t>
        </is>
      </c>
      <c r="E184" t="n">
        <v>123.45</v>
      </c>
      <c r="F184" t="n">
        <v>132.54</v>
      </c>
      <c r="G184" t="n">
        <v>107360</v>
      </c>
      <c r="H184" t="n">
        <v>107360</v>
      </c>
      <c r="I184" t="n">
        <v>75152</v>
      </c>
      <c r="J184" t="inlineStr">
        <is>
          <t>EXECUTED</t>
        </is>
      </c>
      <c r="K184" t="n">
        <v>24.5</v>
      </c>
      <c r="L184" t="n">
        <v>-9.359999999999999</v>
      </c>
      <c r="M184">
        <f>HYPERLINK("../../data/FEB10_DYNAMIC/FEB05/OTM/NIFTY2621025650PE_strategy.html", "View")</f>
        <v/>
      </c>
      <c r="N184" t="inlineStr"/>
      <c r="O184" t="inlineStr"/>
      <c r="P184" t="inlineStr">
        <is>
          <t>NEUTRAL</t>
        </is>
      </c>
      <c r="Q184" t="inlineStr">
        <is>
          <t>INCLUDED</t>
        </is>
      </c>
      <c r="R184" t="n">
        <v>7.36</v>
      </c>
      <c r="S184" t="inlineStr">
        <is>
          <t>SuperTrend Stop Loss Exit</t>
        </is>
      </c>
      <c r="T184" t="n">
        <v>0.435</v>
      </c>
      <c r="U184" t="n">
        <v>0.6321</v>
      </c>
      <c r="V184" t="inlineStr">
        <is>
          <t>2026-02-05</t>
        </is>
      </c>
      <c r="W184" t="inlineStr">
        <is>
          <t>Between R1 and S1</t>
        </is>
      </c>
      <c r="X184" t="n">
        <v>25662.68</v>
      </c>
      <c r="Y184" t="n">
        <v>25875.05</v>
      </c>
      <c r="Z184" t="n">
        <v>25620.45</v>
      </c>
      <c r="AA184" t="n">
        <v>25974.1</v>
      </c>
      <c r="AB184" t="n">
        <v>25464.9</v>
      </c>
      <c r="AC184" t="n">
        <v>26129.65</v>
      </c>
      <c r="AD184" t="n">
        <v>25365.85</v>
      </c>
    </row>
    <row r="185">
      <c r="A185">
        <f>HYPERLINK("../../data/FEB10_DYNAMIC/FEB06/OTM/NIFTY2621025650PE_strategy.csv", "NIFTY2621025650PE")</f>
        <v/>
      </c>
      <c r="B185" t="inlineStr">
        <is>
          <t>PE</t>
        </is>
      </c>
      <c r="C185" t="inlineStr">
        <is>
          <t>15:16:01</t>
        </is>
      </c>
      <c r="D185" t="inlineStr">
        <is>
          <t>15:17:00</t>
        </is>
      </c>
      <c r="E185" t="n">
        <v>91.2</v>
      </c>
      <c r="F185" t="n">
        <v>88.45</v>
      </c>
      <c r="G185" t="n">
        <v>141149.07</v>
      </c>
      <c r="H185" t="n">
        <v>196581.06</v>
      </c>
      <c r="I185" t="n">
        <v>137606.74</v>
      </c>
      <c r="J185" t="inlineStr">
        <is>
          <t>EXECUTED</t>
        </is>
      </c>
      <c r="K185" t="n">
        <v>0.11</v>
      </c>
      <c r="L185" t="n">
        <v>-6.3</v>
      </c>
      <c r="M185">
        <f>HYPERLINK("../../data/FEB10_DYNAMIC/FEB06/OTM/NIFTY2621025650PE_strategy.html", "View")</f>
        <v/>
      </c>
      <c r="N185" t="inlineStr"/>
      <c r="O185" t="inlineStr"/>
      <c r="P185" t="inlineStr">
        <is>
          <t>NEUTRAL</t>
        </is>
      </c>
      <c r="Q185" t="inlineStr">
        <is>
          <t>INCLUDED</t>
        </is>
      </c>
      <c r="R185" t="n">
        <v>-3.02</v>
      </c>
      <c r="S185" t="inlineStr">
        <is>
          <t>EOD Exit</t>
        </is>
      </c>
      <c r="T185" t="n">
        <v>0.4868</v>
      </c>
      <c r="U185" t="inlineStr"/>
      <c r="V185" t="inlineStr">
        <is>
          <t>2026-02-06</t>
        </is>
      </c>
      <c r="W185" t="inlineStr">
        <is>
          <t>Between R1 and S1</t>
        </is>
      </c>
      <c r="X185" t="n">
        <v>25699.14</v>
      </c>
      <c r="Y185" t="n">
        <v>25740.47</v>
      </c>
      <c r="Z185" t="n">
        <v>25562.32</v>
      </c>
      <c r="AA185" t="n">
        <v>25838.13</v>
      </c>
      <c r="AB185" t="n">
        <v>25481.83</v>
      </c>
      <c r="AC185" t="n">
        <v>25918.62</v>
      </c>
      <c r="AD185" t="n">
        <v>25384.17</v>
      </c>
    </row>
    <row r="186">
      <c r="A186">
        <f>HYPERLINK("../../data/FEB10_DYNAMIC/FEB06/OTM/NIFTY2621025600PE_strategy.csv", "NIFTY2621025600PE")</f>
        <v/>
      </c>
      <c r="B186" t="inlineStr">
        <is>
          <t>PE</t>
        </is>
      </c>
      <c r="C186" t="inlineStr">
        <is>
          <t>14:49:01</t>
        </is>
      </c>
      <c r="D186" t="inlineStr">
        <is>
          <t>14:55:00</t>
        </is>
      </c>
      <c r="E186" t="n">
        <v>86.3</v>
      </c>
      <c r="F186" t="n">
        <v>79.40000000000001</v>
      </c>
      <c r="G186" t="n">
        <v>145544.52</v>
      </c>
      <c r="H186" t="n">
        <v>196581.06</v>
      </c>
      <c r="I186" t="n">
        <v>137606.74</v>
      </c>
      <c r="J186" t="inlineStr">
        <is>
          <t>EXECUTED</t>
        </is>
      </c>
      <c r="K186" t="n">
        <v>0.06</v>
      </c>
      <c r="L186" t="n">
        <v>-10.72</v>
      </c>
      <c r="M186">
        <f>HYPERLINK("../../data/FEB10_DYNAMIC/FEB06/OTM/NIFTY2621025600PE_strategy.html", "View")</f>
        <v/>
      </c>
      <c r="N186" t="inlineStr"/>
      <c r="O186" t="inlineStr"/>
      <c r="P186" t="inlineStr">
        <is>
          <t>BEARISH</t>
        </is>
      </c>
      <c r="Q186" t="inlineStr">
        <is>
          <t>INCLUDED (HYBRID_v5_BEARISH_PE)</t>
        </is>
      </c>
      <c r="R186" t="n">
        <v>-8</v>
      </c>
      <c r="S186" t="inlineStr">
        <is>
          <t>Fixed Stop Loss</t>
        </is>
      </c>
      <c r="T186" t="n">
        <v>0.304</v>
      </c>
      <c r="U186" t="inlineStr"/>
      <c r="V186" t="inlineStr">
        <is>
          <t>2026-02-06</t>
        </is>
      </c>
      <c r="W186" t="inlineStr">
        <is>
          <t>Between R1 and S1</t>
        </is>
      </c>
      <c r="X186" t="n">
        <v>25636.66</v>
      </c>
      <c r="Y186" t="n">
        <v>25740.47</v>
      </c>
      <c r="Z186" t="n">
        <v>25562.32</v>
      </c>
      <c r="AA186" t="n">
        <v>25838.13</v>
      </c>
      <c r="AB186" t="n">
        <v>25481.83</v>
      </c>
      <c r="AC186" t="n">
        <v>25918.62</v>
      </c>
      <c r="AD186" t="n">
        <v>25384.17</v>
      </c>
    </row>
    <row r="187">
      <c r="A187">
        <f>HYPERLINK("../../data/FEB10_DYNAMIC/FEB06/OTM/NIFTY2621025600PE_strategy.csv", "NIFTY2621025600PE")</f>
        <v/>
      </c>
      <c r="B187" t="inlineStr">
        <is>
          <t>PE</t>
        </is>
      </c>
      <c r="C187" t="inlineStr">
        <is>
          <t>14:25:01</t>
        </is>
      </c>
      <c r="D187" t="inlineStr">
        <is>
          <t>14:34:00</t>
        </is>
      </c>
      <c r="E187" t="n">
        <v>98</v>
      </c>
      <c r="F187" t="n">
        <v>90.16</v>
      </c>
      <c r="G187" t="n">
        <v>158200.56</v>
      </c>
      <c r="H187" t="n">
        <v>196581.06</v>
      </c>
      <c r="I187" t="n">
        <v>137606.74</v>
      </c>
      <c r="J187" t="inlineStr">
        <is>
          <t>EXECUTED</t>
        </is>
      </c>
      <c r="K187" t="n">
        <v>0.31</v>
      </c>
      <c r="L187" t="n">
        <v>-12.04</v>
      </c>
      <c r="M187">
        <f>HYPERLINK("../../data/FEB10_DYNAMIC/FEB06/OTM/NIFTY2621025600PE_strategy.html", "View")</f>
        <v/>
      </c>
      <c r="N187" t="inlineStr"/>
      <c r="O187" t="inlineStr"/>
      <c r="P187" t="inlineStr">
        <is>
          <t>NEUTRAL</t>
        </is>
      </c>
      <c r="Q187" t="inlineStr">
        <is>
          <t>INCLUDED</t>
        </is>
      </c>
      <c r="R187" t="n">
        <v>-8</v>
      </c>
      <c r="S187" t="inlineStr">
        <is>
          <t>Fixed Stop Loss</t>
        </is>
      </c>
      <c r="T187" t="n">
        <v>0.5245</v>
      </c>
      <c r="U187" t="inlineStr"/>
      <c r="V187" t="inlineStr">
        <is>
          <t>2026-02-06</t>
        </is>
      </c>
      <c r="W187" t="inlineStr">
        <is>
          <t>Between R1 and S1</t>
        </is>
      </c>
      <c r="X187" t="n">
        <v>25608.4</v>
      </c>
      <c r="Y187" t="n">
        <v>25740.47</v>
      </c>
      <c r="Z187" t="n">
        <v>25562.32</v>
      </c>
      <c r="AA187" t="n">
        <v>25838.13</v>
      </c>
      <c r="AB187" t="n">
        <v>25481.83</v>
      </c>
      <c r="AC187" t="n">
        <v>25918.62</v>
      </c>
      <c r="AD187" t="n">
        <v>25384.17</v>
      </c>
    </row>
    <row r="188">
      <c r="A188">
        <f>HYPERLINK("../../data/FEB10_DYNAMIC/FEB06/OTM/NIFTY2621025650CE_strategy.csv", "NIFTY2621025650CE")</f>
        <v/>
      </c>
      <c r="B188" t="inlineStr">
        <is>
          <t>CE</t>
        </is>
      </c>
      <c r="C188" t="inlineStr">
        <is>
          <t>14:19:01</t>
        </is>
      </c>
      <c r="D188" t="inlineStr">
        <is>
          <t>14:30:00</t>
        </is>
      </c>
      <c r="E188" t="n">
        <v>88.45</v>
      </c>
      <c r="F188" t="n">
        <v>84.09</v>
      </c>
      <c r="G188" t="n">
        <v>171957.13</v>
      </c>
      <c r="H188" t="n">
        <v>196581.06</v>
      </c>
      <c r="I188" t="n">
        <v>137606.74</v>
      </c>
      <c r="J188" t="inlineStr">
        <is>
          <t>EXECUTED</t>
        </is>
      </c>
      <c r="K188" t="n">
        <v>12.83</v>
      </c>
      <c r="L188" t="n">
        <v>-8.25</v>
      </c>
      <c r="M188">
        <f>HYPERLINK("../../data/FEB10_DYNAMIC/FEB06/OTM/NIFTY2621025650CE_strategy.html", "View")</f>
        <v/>
      </c>
      <c r="N188" t="inlineStr"/>
      <c r="O188" t="inlineStr"/>
      <c r="P188" t="inlineStr">
        <is>
          <t>NEUTRAL</t>
        </is>
      </c>
      <c r="Q188" t="inlineStr">
        <is>
          <t>INCLUDED</t>
        </is>
      </c>
      <c r="R188" t="n">
        <v>-4.93</v>
      </c>
      <c r="S188" t="inlineStr">
        <is>
          <t>SuperTrend Stop Loss Exit</t>
        </is>
      </c>
      <c r="T188" t="n">
        <v>0.4416</v>
      </c>
      <c r="U188" t="n">
        <v>0.5132</v>
      </c>
      <c r="V188" t="inlineStr">
        <is>
          <t>2026-02-06</t>
        </is>
      </c>
      <c r="W188" t="inlineStr">
        <is>
          <t>Between R1 and S1</t>
        </is>
      </c>
      <c r="X188" t="n">
        <v>25616.17</v>
      </c>
      <c r="Y188" t="n">
        <v>25740.47</v>
      </c>
      <c r="Z188" t="n">
        <v>25562.32</v>
      </c>
      <c r="AA188" t="n">
        <v>25838.13</v>
      </c>
      <c r="AB188" t="n">
        <v>25481.83</v>
      </c>
      <c r="AC188" t="n">
        <v>25918.62</v>
      </c>
      <c r="AD188" t="n">
        <v>25384.17</v>
      </c>
    </row>
    <row r="189">
      <c r="A189">
        <f>HYPERLINK("../../data/FEB10_DYNAMIC/FEB06/OTM/NIFTY2621025600PE_strategy.csv", "NIFTY2621025600PE")</f>
        <v/>
      </c>
      <c r="B189" t="inlineStr">
        <is>
          <t>PE</t>
        </is>
      </c>
      <c r="C189" t="inlineStr">
        <is>
          <t>14:11:01</t>
        </is>
      </c>
      <c r="D189" t="inlineStr">
        <is>
          <t>14:20:00</t>
        </is>
      </c>
      <c r="E189" t="n">
        <v>95.15000000000001</v>
      </c>
      <c r="F189" t="n">
        <v>87.55</v>
      </c>
      <c r="G189" t="n">
        <v>180874.23</v>
      </c>
      <c r="H189" t="n">
        <v>196581.06</v>
      </c>
      <c r="I189" t="n">
        <v>137606.74</v>
      </c>
      <c r="J189" t="inlineStr">
        <is>
          <t>EXECUTED</t>
        </is>
      </c>
      <c r="K189" t="n">
        <v>5.78</v>
      </c>
      <c r="L189" t="n">
        <v>-8.779999999999999</v>
      </c>
      <c r="M189">
        <f>HYPERLINK("../../data/FEB10_DYNAMIC/FEB06/OTM/NIFTY2621025600PE_strategy.html", "View")</f>
        <v/>
      </c>
      <c r="N189" t="inlineStr"/>
      <c r="O189" t="inlineStr"/>
      <c r="P189" t="inlineStr">
        <is>
          <t>NEUTRAL</t>
        </is>
      </c>
      <c r="Q189" t="inlineStr">
        <is>
          <t>INCLUDED</t>
        </is>
      </c>
      <c r="R189" t="n">
        <v>-7.99</v>
      </c>
      <c r="S189" t="inlineStr">
        <is>
          <t>SuperTrend Stop Loss Exit</t>
        </is>
      </c>
      <c r="T189" t="n">
        <v>0.6189</v>
      </c>
      <c r="U189" t="inlineStr"/>
      <c r="V189" t="inlineStr">
        <is>
          <t>2026-02-06</t>
        </is>
      </c>
      <c r="W189" t="inlineStr">
        <is>
          <t>Between R1 and S1</t>
        </is>
      </c>
      <c r="X189" t="n">
        <v>25610.24</v>
      </c>
      <c r="Y189" t="n">
        <v>25740.47</v>
      </c>
      <c r="Z189" t="n">
        <v>25562.32</v>
      </c>
      <c r="AA189" t="n">
        <v>25838.13</v>
      </c>
      <c r="AB189" t="n">
        <v>25481.83</v>
      </c>
      <c r="AC189" t="n">
        <v>25918.62</v>
      </c>
      <c r="AD189" t="n">
        <v>25384.17</v>
      </c>
    </row>
    <row r="190">
      <c r="A190">
        <f>HYPERLINK("../../data/FEB10_DYNAMIC/FEB06/OTM/NIFTY2621025600PE_strategy.csv", "NIFTY2621025600PE")</f>
        <v/>
      </c>
      <c r="B190" t="inlineStr">
        <is>
          <t>PE</t>
        </is>
      </c>
      <c r="C190" t="inlineStr">
        <is>
          <t>12:04:01</t>
        </is>
      </c>
      <c r="D190" t="inlineStr">
        <is>
          <t>12:47:00</t>
        </is>
      </c>
      <c r="E190" t="n">
        <v>95.59999999999999</v>
      </c>
      <c r="F190" t="n">
        <v>119.36</v>
      </c>
      <c r="G190" t="n">
        <v>173811.94</v>
      </c>
      <c r="H190" t="n">
        <v>173811.94</v>
      </c>
      <c r="I190" t="n">
        <v>121668.36</v>
      </c>
      <c r="J190" t="inlineStr">
        <is>
          <t>EXECUTED</t>
        </is>
      </c>
      <c r="K190" t="n">
        <v>43.1</v>
      </c>
      <c r="L190" t="n">
        <v>-12.13</v>
      </c>
      <c r="M190">
        <f>HYPERLINK("../../data/FEB10_DYNAMIC/FEB06/OTM/NIFTY2621025600PE_strategy.html", "View")</f>
        <v/>
      </c>
      <c r="N190" t="inlineStr"/>
      <c r="O190" t="inlineStr"/>
      <c r="P190" t="inlineStr">
        <is>
          <t>BEARISH</t>
        </is>
      </c>
      <c r="Q190" t="inlineStr">
        <is>
          <t>INCLUDED (HYBRID_v5_BEARISH_PE)</t>
        </is>
      </c>
      <c r="R190" t="n">
        <v>24.85</v>
      </c>
      <c r="S190" t="inlineStr">
        <is>
          <t>SuperTrend Stop Loss Exit</t>
        </is>
      </c>
      <c r="T190" t="n">
        <v>0.6037</v>
      </c>
      <c r="U190" t="n">
        <v>0.6399</v>
      </c>
      <c r="V190" t="inlineStr">
        <is>
          <t>2026-02-06</t>
        </is>
      </c>
      <c r="W190" t="inlineStr">
        <is>
          <t>Between R1 and S1</t>
        </is>
      </c>
      <c r="X190" t="n">
        <v>25625.01</v>
      </c>
      <c r="Y190" t="n">
        <v>25740.47</v>
      </c>
      <c r="Z190" t="n">
        <v>25562.32</v>
      </c>
      <c r="AA190" t="n">
        <v>25838.13</v>
      </c>
      <c r="AB190" t="n">
        <v>25481.83</v>
      </c>
      <c r="AC190" t="n">
        <v>25918.62</v>
      </c>
      <c r="AD190" t="n">
        <v>25384.17</v>
      </c>
    </row>
    <row r="191">
      <c r="A191">
        <f>HYPERLINK("../../data/FEB10_DYNAMIC/FEB06/OTM/NIFTY2621025600PE_strategy.csv", "NIFTY2621025600PE")</f>
        <v/>
      </c>
      <c r="B191" t="inlineStr">
        <is>
          <t>PE</t>
        </is>
      </c>
      <c r="C191" t="inlineStr">
        <is>
          <t>11:57:01</t>
        </is>
      </c>
      <c r="D191" t="inlineStr">
        <is>
          <t>12:00:00</t>
        </is>
      </c>
      <c r="E191" t="n">
        <v>99.34999999999999</v>
      </c>
      <c r="F191" t="n">
        <v>91.40000000000001</v>
      </c>
      <c r="G191" t="n">
        <v>78141.34</v>
      </c>
      <c r="H191" t="n">
        <v>100000</v>
      </c>
      <c r="I191" t="n">
        <v>70000</v>
      </c>
      <c r="J191" t="inlineStr">
        <is>
          <t>EXECUTED</t>
        </is>
      </c>
      <c r="K191" t="n">
        <v>0</v>
      </c>
      <c r="L191" t="n">
        <v>-5.33</v>
      </c>
      <c r="M191">
        <f>HYPERLINK("../../data/FEB10_DYNAMIC/FEB06/OTM/NIFTY2621025600PE_strategy.html", "View")</f>
        <v/>
      </c>
      <c r="N191" t="inlineStr"/>
      <c r="O191" t="inlineStr"/>
      <c r="P191" t="inlineStr">
        <is>
          <t>NEUTRAL</t>
        </is>
      </c>
      <c r="Q191" t="inlineStr">
        <is>
          <t>INCLUDED</t>
        </is>
      </c>
      <c r="R191" t="n">
        <v>-8</v>
      </c>
      <c r="S191" t="inlineStr">
        <is>
          <t>Fixed Stop Loss</t>
        </is>
      </c>
      <c r="T191" t="n">
        <v>0.6485</v>
      </c>
      <c r="U191" t="inlineStr"/>
      <c r="V191" t="inlineStr">
        <is>
          <t>2026-02-06</t>
        </is>
      </c>
      <c r="W191" t="inlineStr">
        <is>
          <t>Between R1 and S1</t>
        </is>
      </c>
      <c r="X191" t="n">
        <v>25620.72</v>
      </c>
      <c r="Y191" t="n">
        <v>25740.47</v>
      </c>
      <c r="Z191" t="n">
        <v>25562.32</v>
      </c>
      <c r="AA191" t="n">
        <v>25838.13</v>
      </c>
      <c r="AB191" t="n">
        <v>25481.83</v>
      </c>
      <c r="AC191" t="n">
        <v>25918.62</v>
      </c>
      <c r="AD191" t="n">
        <v>25384.17</v>
      </c>
    </row>
    <row r="192">
      <c r="A192">
        <f>HYPERLINK("../../data/FEB10_DYNAMIC/FEB06/OTM/NIFTY2621025600CE_strategy.csv", "NIFTY2621025600CE")</f>
        <v/>
      </c>
      <c r="B192" t="inlineStr">
        <is>
          <t>CE</t>
        </is>
      </c>
      <c r="C192" t="inlineStr">
        <is>
          <t>09:50:01</t>
        </is>
      </c>
      <c r="D192" t="inlineStr">
        <is>
          <t>09:55:00</t>
        </is>
      </c>
      <c r="E192" t="n">
        <v>107.6</v>
      </c>
      <c r="F192" t="n">
        <v>98.98999999999999</v>
      </c>
      <c r="G192" t="n">
        <v>92000</v>
      </c>
      <c r="H192" t="n">
        <v>100000</v>
      </c>
      <c r="I192" t="n">
        <v>70000</v>
      </c>
      <c r="J192" t="inlineStr">
        <is>
          <t>EXECUTED</t>
        </is>
      </c>
      <c r="K192" t="n">
        <v>0</v>
      </c>
      <c r="L192" t="n">
        <v>-10.59</v>
      </c>
      <c r="M192">
        <f>HYPERLINK("../../data/FEB10_DYNAMIC/FEB06/OTM/NIFTY2621025600CE_strategy.html", "View")</f>
        <v/>
      </c>
      <c r="N192" t="inlineStr"/>
      <c r="O192" t="inlineStr"/>
      <c r="P192" t="inlineStr">
        <is>
          <t>NEUTRAL</t>
        </is>
      </c>
      <c r="Q192" t="inlineStr">
        <is>
          <t>INCLUDED</t>
        </is>
      </c>
      <c r="R192" t="n">
        <v>-8</v>
      </c>
      <c r="S192" t="inlineStr">
        <is>
          <t>Fixed Stop Loss</t>
        </is>
      </c>
      <c r="T192" t="n">
        <v>0.4615</v>
      </c>
      <c r="U192" t="inlineStr"/>
      <c r="V192" t="inlineStr">
        <is>
          <t>2026-02-06</t>
        </is>
      </c>
      <c r="W192" t="inlineStr">
        <is>
          <t>Between R1 and S1</t>
        </is>
      </c>
      <c r="X192" t="n">
        <v>25564.3</v>
      </c>
      <c r="Y192" t="n">
        <v>25740.47</v>
      </c>
      <c r="Z192" t="n">
        <v>25562.32</v>
      </c>
      <c r="AA192" t="n">
        <v>25838.13</v>
      </c>
      <c r="AB192" t="n">
        <v>25481.83</v>
      </c>
      <c r="AC192" t="n">
        <v>25918.62</v>
      </c>
      <c r="AD192" t="n">
        <v>25384.17</v>
      </c>
    </row>
    <row r="193">
      <c r="A193">
        <f>HYPERLINK("../../data/FEB17_DYNAMIC/FEB11/OTM/NIFTY2621725950CE_strategy.csv", "NIFTY2621725950CE")</f>
        <v/>
      </c>
      <c r="B193" t="inlineStr">
        <is>
          <t>CE</t>
        </is>
      </c>
      <c r="C193" t="inlineStr">
        <is>
          <t>14:35:01</t>
        </is>
      </c>
      <c r="D193" t="inlineStr">
        <is>
          <t>15:07:00</t>
        </is>
      </c>
      <c r="E193" t="n">
        <v>129.9</v>
      </c>
      <c r="F193" t="n">
        <v>127.38</v>
      </c>
      <c r="G193" t="n">
        <v>79595.72</v>
      </c>
      <c r="H193" t="n">
        <v>100000</v>
      </c>
      <c r="I193" t="n">
        <v>70000</v>
      </c>
      <c r="J193" t="inlineStr">
        <is>
          <t>EXECUTED</t>
        </is>
      </c>
      <c r="K193" t="n">
        <v>7.97</v>
      </c>
      <c r="L193" t="n">
        <v>-6.2</v>
      </c>
      <c r="M193">
        <f>HYPERLINK("../../data/FEB17_DYNAMIC/FEB11/OTM/NIFTY2621725950CE_strategy.html", "View")</f>
        <v/>
      </c>
      <c r="N193" t="inlineStr"/>
      <c r="O193" t="inlineStr"/>
      <c r="P193" t="inlineStr">
        <is>
          <t>BULLISH</t>
        </is>
      </c>
      <c r="Q193" t="inlineStr">
        <is>
          <t>INCLUDED (HYBRID_v5_BULLISH_CE)</t>
        </is>
      </c>
      <c r="R193" t="n">
        <v>-1.94</v>
      </c>
      <c r="S193" t="inlineStr">
        <is>
          <t>SuperTrend Stop Loss Exit</t>
        </is>
      </c>
      <c r="T193" t="n">
        <v>0.4687</v>
      </c>
      <c r="U193" t="n">
        <v>0.6783</v>
      </c>
      <c r="V193" t="inlineStr">
        <is>
          <t>2026-02-11</t>
        </is>
      </c>
      <c r="W193" t="inlineStr">
        <is>
          <t>Between R1 and S1</t>
        </is>
      </c>
      <c r="X193" t="n">
        <v>25951.19</v>
      </c>
      <c r="Y193" t="n">
        <v>25992.92</v>
      </c>
      <c r="Z193" t="n">
        <v>25873.92</v>
      </c>
      <c r="AA193" t="n">
        <v>26050.68</v>
      </c>
      <c r="AB193" t="n">
        <v>25812.68</v>
      </c>
      <c r="AC193" t="n">
        <v>26111.92</v>
      </c>
      <c r="AD193" t="n">
        <v>25754.92</v>
      </c>
    </row>
    <row r="194">
      <c r="A194">
        <f>HYPERLINK("../../data/FEB17_DYNAMIC/FEB11/OTM/NIFTY2621725950PE_strategy.csv", "NIFTY2621725950PE")</f>
        <v/>
      </c>
      <c r="B194" t="inlineStr">
        <is>
          <t>PE</t>
        </is>
      </c>
      <c r="C194" t="inlineStr">
        <is>
          <t>14:23:01</t>
        </is>
      </c>
      <c r="D194" t="inlineStr">
        <is>
          <t>15:00:00</t>
        </is>
      </c>
      <c r="E194" t="n">
        <v>105.85</v>
      </c>
      <c r="F194" t="n">
        <v>100.79</v>
      </c>
      <c r="G194" t="n">
        <v>81170.42</v>
      </c>
      <c r="H194" t="n">
        <v>100000</v>
      </c>
      <c r="I194" t="n">
        <v>70000</v>
      </c>
      <c r="J194" t="inlineStr">
        <is>
          <t>EXECUTED</t>
        </is>
      </c>
      <c r="K194" t="n">
        <v>4.82</v>
      </c>
      <c r="L194" t="n">
        <v>-7.27</v>
      </c>
      <c r="M194">
        <f>HYPERLINK("../../data/FEB17_DYNAMIC/FEB11/OTM/NIFTY2621725950PE_strategy.html", "View")</f>
        <v/>
      </c>
      <c r="N194" t="inlineStr"/>
      <c r="O194" t="inlineStr"/>
      <c r="P194" t="inlineStr">
        <is>
          <t>BEARISH</t>
        </is>
      </c>
      <c r="Q194" t="inlineStr">
        <is>
          <t>INCLUDED (HYBRID_v5_BEARISH_PE)</t>
        </is>
      </c>
      <c r="R194" t="n">
        <v>-4.78</v>
      </c>
      <c r="S194" t="inlineStr">
        <is>
          <t>SuperTrend Stop Loss Exit</t>
        </is>
      </c>
      <c r="T194" t="n">
        <v>0.4674</v>
      </c>
      <c r="U194" t="inlineStr"/>
      <c r="V194" t="inlineStr">
        <is>
          <t>2026-02-11</t>
        </is>
      </c>
      <c r="W194" t="inlineStr">
        <is>
          <t>Between R1 and S1</t>
        </is>
      </c>
      <c r="X194" t="n">
        <v>25943.95</v>
      </c>
      <c r="Y194" t="n">
        <v>25992.92</v>
      </c>
      <c r="Z194" t="n">
        <v>25873.92</v>
      </c>
      <c r="AA194" t="n">
        <v>26050.68</v>
      </c>
      <c r="AB194" t="n">
        <v>25812.68</v>
      </c>
      <c r="AC194" t="n">
        <v>26111.92</v>
      </c>
      <c r="AD194" t="n">
        <v>25754.92</v>
      </c>
    </row>
    <row r="195">
      <c r="A195">
        <f>HYPERLINK("../../data/FEB17_DYNAMIC/FEB11/OTM/NIFTY2621725950CE_strategy.csv", "NIFTY2621725950CE")</f>
        <v/>
      </c>
      <c r="B195" t="inlineStr">
        <is>
          <t>CE</t>
        </is>
      </c>
      <c r="C195" t="inlineStr">
        <is>
          <t>14:11:01</t>
        </is>
      </c>
      <c r="D195" t="inlineStr">
        <is>
          <t>14:23:00</t>
        </is>
      </c>
      <c r="E195" t="n">
        <v>128.15</v>
      </c>
      <c r="F195" t="n">
        <v>127.52</v>
      </c>
      <c r="G195" t="n">
        <v>85245.14</v>
      </c>
      <c r="H195" t="n">
        <v>100000</v>
      </c>
      <c r="I195" t="n">
        <v>70000</v>
      </c>
      <c r="J195" t="inlineStr">
        <is>
          <t>EXECUTED</t>
        </is>
      </c>
      <c r="K195" t="n">
        <v>8.119999999999999</v>
      </c>
      <c r="L195" t="n">
        <v>-6.2</v>
      </c>
      <c r="M195">
        <f>HYPERLINK("../../data/FEB17_DYNAMIC/FEB11/OTM/NIFTY2621725950CE_strategy.html", "View")</f>
        <v/>
      </c>
      <c r="N195" t="inlineStr"/>
      <c r="O195" t="inlineStr"/>
      <c r="P195" t="inlineStr">
        <is>
          <t>BULLISH</t>
        </is>
      </c>
      <c r="Q195" t="inlineStr">
        <is>
          <t>INCLUDED (HYBRID_v5_BULLISH_CE)</t>
        </is>
      </c>
      <c r="R195" t="n">
        <v>-0.49</v>
      </c>
      <c r="S195" t="inlineStr">
        <is>
          <t>SuperTrend Stop Loss Exit</t>
        </is>
      </c>
      <c r="T195" t="n">
        <v>0.7246</v>
      </c>
      <c r="U195" t="n">
        <v>0.9293</v>
      </c>
      <c r="V195" t="inlineStr">
        <is>
          <t>2026-02-11</t>
        </is>
      </c>
      <c r="W195" t="inlineStr">
        <is>
          <t>Between R1 and S1</t>
        </is>
      </c>
      <c r="X195" t="n">
        <v>25948.59</v>
      </c>
      <c r="Y195" t="n">
        <v>25992.92</v>
      </c>
      <c r="Z195" t="n">
        <v>25873.92</v>
      </c>
      <c r="AA195" t="n">
        <v>26050.68</v>
      </c>
      <c r="AB195" t="n">
        <v>25812.68</v>
      </c>
      <c r="AC195" t="n">
        <v>26111.92</v>
      </c>
      <c r="AD195" t="n">
        <v>25754.92</v>
      </c>
    </row>
    <row r="196">
      <c r="A196">
        <f>HYPERLINK("../../data/FEB17_DYNAMIC/FEB11/OTM/NIFTY2621725950PE_strategy.csv", "NIFTY2621725950PE")</f>
        <v/>
      </c>
      <c r="B196" t="inlineStr">
        <is>
          <t>PE</t>
        </is>
      </c>
      <c r="C196" t="inlineStr">
        <is>
          <t>13:46:01</t>
        </is>
      </c>
      <c r="D196" t="inlineStr">
        <is>
          <t>14:10:00</t>
        </is>
      </c>
      <c r="E196" t="n">
        <v>103.25</v>
      </c>
      <c r="F196" t="n">
        <v>108.3</v>
      </c>
      <c r="G196" t="n">
        <v>85664.89999999999</v>
      </c>
      <c r="H196" t="n">
        <v>100000</v>
      </c>
      <c r="I196" t="n">
        <v>70000</v>
      </c>
      <c r="J196" t="inlineStr">
        <is>
          <t>EXECUTED</t>
        </is>
      </c>
      <c r="K196" t="n">
        <v>11.82</v>
      </c>
      <c r="L196" t="n">
        <v>-7.02</v>
      </c>
      <c r="M196">
        <f>HYPERLINK("../../data/FEB17_DYNAMIC/FEB11/OTM/NIFTY2621725950PE_strategy.html", "View")</f>
        <v/>
      </c>
      <c r="N196" t="inlineStr"/>
      <c r="O196" t="inlineStr"/>
      <c r="P196" t="inlineStr">
        <is>
          <t>BEARISH</t>
        </is>
      </c>
      <c r="Q196" t="inlineStr">
        <is>
          <t>INCLUDED (HYBRID_v5_BEARISH_PE)</t>
        </is>
      </c>
      <c r="R196" t="n">
        <v>4.89</v>
      </c>
      <c r="S196" t="inlineStr">
        <is>
          <t>Dynamic Trailing MA (Fast/Slow MA)</t>
        </is>
      </c>
      <c r="T196" t="n">
        <v>0.3275</v>
      </c>
      <c r="U196" t="n">
        <v>0.5612</v>
      </c>
      <c r="V196" t="inlineStr">
        <is>
          <t>2026-02-11</t>
        </is>
      </c>
      <c r="W196" t="inlineStr">
        <is>
          <t>Between R1 and S1</t>
        </is>
      </c>
      <c r="X196" t="n">
        <v>25952.18</v>
      </c>
      <c r="Y196" t="n">
        <v>25992.92</v>
      </c>
      <c r="Z196" t="n">
        <v>25873.92</v>
      </c>
      <c r="AA196" t="n">
        <v>26050.68</v>
      </c>
      <c r="AB196" t="n">
        <v>25812.68</v>
      </c>
      <c r="AC196" t="n">
        <v>26111.92</v>
      </c>
      <c r="AD196" t="n">
        <v>25754.92</v>
      </c>
    </row>
    <row r="197">
      <c r="A197">
        <f>HYPERLINK("../../data/FEB17_DYNAMIC/FEB11/OTM/NIFTY2621725900PE_strategy.csv", "NIFTY2621725900PE")</f>
        <v/>
      </c>
      <c r="B197" t="inlineStr">
        <is>
          <t>PE</t>
        </is>
      </c>
      <c r="C197" t="inlineStr">
        <is>
          <t>13:24:01</t>
        </is>
      </c>
      <c r="D197" t="inlineStr">
        <is>
          <t>13:27:00</t>
        </is>
      </c>
      <c r="E197" t="n">
        <v>97.5</v>
      </c>
      <c r="F197" t="n">
        <v>89.7</v>
      </c>
      <c r="G197" t="n">
        <v>74756.23</v>
      </c>
      <c r="H197" t="n">
        <v>100000</v>
      </c>
      <c r="I197" t="n">
        <v>70000</v>
      </c>
      <c r="J197" t="inlineStr">
        <is>
          <t>EXECUTED</t>
        </is>
      </c>
      <c r="K197" t="n">
        <v>0</v>
      </c>
      <c r="L197" t="n">
        <v>-7.9</v>
      </c>
      <c r="M197">
        <f>HYPERLINK("../../data/FEB17_DYNAMIC/FEB11/OTM/NIFTY2621725900PE_strategy.html", "View")</f>
        <v/>
      </c>
      <c r="N197" t="inlineStr"/>
      <c r="O197" t="inlineStr"/>
      <c r="P197" t="inlineStr">
        <is>
          <t>NEUTRAL</t>
        </is>
      </c>
      <c r="Q197" t="inlineStr">
        <is>
          <t>INCLUDED</t>
        </is>
      </c>
      <c r="R197" t="n">
        <v>-8</v>
      </c>
      <c r="S197" t="inlineStr">
        <is>
          <t>Fixed Stop Loss</t>
        </is>
      </c>
      <c r="T197" t="n">
        <v>0.5856</v>
      </c>
      <c r="U197" t="inlineStr"/>
      <c r="V197" t="inlineStr">
        <is>
          <t>2026-02-11</t>
        </is>
      </c>
      <c r="W197" t="inlineStr">
        <is>
          <t>Between R1 and S1</t>
        </is>
      </c>
      <c r="X197" t="n">
        <v>25928.05</v>
      </c>
      <c r="Y197" t="n">
        <v>25992.92</v>
      </c>
      <c r="Z197" t="n">
        <v>25873.92</v>
      </c>
      <c r="AA197" t="n">
        <v>26050.68</v>
      </c>
      <c r="AB197" t="n">
        <v>25812.68</v>
      </c>
      <c r="AC197" t="n">
        <v>26111.92</v>
      </c>
      <c r="AD197" t="n">
        <v>25754.92</v>
      </c>
    </row>
    <row r="198">
      <c r="A198">
        <f>HYPERLINK("../../data/FEB17_DYNAMIC/FEB11/OTM/NIFTY2621725950CE_strategy.csv", "NIFTY2621725950CE")</f>
        <v/>
      </c>
      <c r="B198" t="inlineStr">
        <is>
          <t>CE</t>
        </is>
      </c>
      <c r="C198" t="inlineStr">
        <is>
          <t>12:50:01</t>
        </is>
      </c>
      <c r="D198" t="inlineStr">
        <is>
          <t>13:49:00</t>
        </is>
      </c>
      <c r="E198" t="n">
        <v>118.35</v>
      </c>
      <c r="F198" t="n">
        <v>129.3</v>
      </c>
      <c r="G198" t="n">
        <v>81671.17999999999</v>
      </c>
      <c r="H198" t="n">
        <v>100000</v>
      </c>
      <c r="I198" t="n">
        <v>70000</v>
      </c>
      <c r="J198" t="inlineStr">
        <is>
          <t>EXECUTED</t>
        </is>
      </c>
      <c r="K198" t="n">
        <v>19.81</v>
      </c>
      <c r="L198" t="n">
        <v>-4.27</v>
      </c>
      <c r="M198">
        <f>HYPERLINK("../../data/FEB17_DYNAMIC/FEB11/OTM/NIFTY2621725950CE_strategy.html", "View")</f>
        <v/>
      </c>
      <c r="N198" t="inlineStr"/>
      <c r="O198" t="inlineStr"/>
      <c r="P198" t="inlineStr">
        <is>
          <t>BULLISH</t>
        </is>
      </c>
      <c r="Q198" t="inlineStr">
        <is>
          <t>INCLUDED (HYBRID_v5_BULLISH_CE)</t>
        </is>
      </c>
      <c r="R198" t="n">
        <v>9.25</v>
      </c>
      <c r="S198" t="inlineStr">
        <is>
          <t>SuperTrend Stop Loss Exit</t>
        </is>
      </c>
      <c r="T198" t="n">
        <v>0.3411</v>
      </c>
      <c r="U198" t="n">
        <v>0.6223</v>
      </c>
      <c r="V198" t="inlineStr">
        <is>
          <t>2026-02-11</t>
        </is>
      </c>
      <c r="W198" t="inlineStr">
        <is>
          <t>Between R1 and S1</t>
        </is>
      </c>
      <c r="X198" t="n">
        <v>25919.97</v>
      </c>
      <c r="Y198" t="n">
        <v>25992.92</v>
      </c>
      <c r="Z198" t="n">
        <v>25873.92</v>
      </c>
      <c r="AA198" t="n">
        <v>26050.68</v>
      </c>
      <c r="AB198" t="n">
        <v>25812.68</v>
      </c>
      <c r="AC198" t="n">
        <v>26111.92</v>
      </c>
      <c r="AD198" t="n">
        <v>25754.92</v>
      </c>
    </row>
    <row r="199">
      <c r="A199">
        <f>HYPERLINK("../../data/FEB17_DYNAMIC/FEB11/OTM/NIFTY2621725950CE_strategy.csv", "NIFTY2621725950CE")</f>
        <v/>
      </c>
      <c r="B199" t="inlineStr">
        <is>
          <t>CE</t>
        </is>
      </c>
      <c r="C199" t="inlineStr">
        <is>
          <t>12:31:01</t>
        </is>
      </c>
      <c r="D199" t="inlineStr">
        <is>
          <t>12:37:00</t>
        </is>
      </c>
      <c r="E199" t="n">
        <v>130</v>
      </c>
      <c r="F199" t="n">
        <v>121.55</v>
      </c>
      <c r="G199" t="n">
        <v>81256.77</v>
      </c>
      <c r="H199" t="n">
        <v>100000</v>
      </c>
      <c r="I199" t="n">
        <v>70000</v>
      </c>
      <c r="J199" t="inlineStr">
        <is>
          <t>EXECUTED</t>
        </is>
      </c>
      <c r="K199" t="n">
        <v>1</v>
      </c>
      <c r="L199" t="n">
        <v>-2.23</v>
      </c>
      <c r="M199">
        <f>HYPERLINK("../../data/FEB17_DYNAMIC/FEB11/OTM/NIFTY2621725950CE_strategy.html", "View")</f>
        <v/>
      </c>
      <c r="N199" t="inlineStr"/>
      <c r="O199" t="inlineStr"/>
      <c r="P199" t="inlineStr">
        <is>
          <t>BULLISH</t>
        </is>
      </c>
      <c r="Q199" t="inlineStr">
        <is>
          <t>INCLUDED (HYBRID_v5_BULLISH_CE)</t>
        </is>
      </c>
      <c r="R199" t="n">
        <v>-6.5</v>
      </c>
      <c r="S199" t="inlineStr">
        <is>
          <t>Fixed Stop Loss</t>
        </is>
      </c>
      <c r="T199" t="n">
        <v>0.4568</v>
      </c>
      <c r="U199" t="inlineStr"/>
      <c r="V199" t="inlineStr">
        <is>
          <t>2026-02-11</t>
        </is>
      </c>
      <c r="W199" t="inlineStr">
        <is>
          <t>Between R1 and S1</t>
        </is>
      </c>
      <c r="X199" t="n">
        <v>25943.09</v>
      </c>
      <c r="Y199" t="n">
        <v>25992.92</v>
      </c>
      <c r="Z199" t="n">
        <v>25873.92</v>
      </c>
      <c r="AA199" t="n">
        <v>26050.68</v>
      </c>
      <c r="AB199" t="n">
        <v>25812.68</v>
      </c>
      <c r="AC199" t="n">
        <v>26111.92</v>
      </c>
      <c r="AD199" t="n">
        <v>25754.92</v>
      </c>
    </row>
    <row r="200">
      <c r="A200">
        <f>HYPERLINK("../../data/FEB17_DYNAMIC/FEB11/OTM/NIFTY2621726000CE_strategy.csv", "NIFTY2621726000CE")</f>
        <v/>
      </c>
      <c r="B200" t="inlineStr">
        <is>
          <t>CE</t>
        </is>
      </c>
      <c r="C200" t="inlineStr">
        <is>
          <t>12:13:01</t>
        </is>
      </c>
      <c r="D200" t="inlineStr">
        <is>
          <t>12:23:00</t>
        </is>
      </c>
      <c r="E200" t="n">
        <v>109.9</v>
      </c>
      <c r="F200" t="n">
        <v>101.11</v>
      </c>
      <c r="G200" t="n">
        <v>86905.64</v>
      </c>
      <c r="H200" t="n">
        <v>100000</v>
      </c>
      <c r="I200" t="n">
        <v>70000</v>
      </c>
      <c r="J200" t="inlineStr">
        <is>
          <t>EXECUTED</t>
        </is>
      </c>
      <c r="K200" t="n">
        <v>0.77</v>
      </c>
      <c r="L200" t="n">
        <v>-9.74</v>
      </c>
      <c r="M200">
        <f>HYPERLINK("../../data/FEB17_DYNAMIC/FEB11/OTM/NIFTY2621726000CE_strategy.html", "View")</f>
        <v/>
      </c>
      <c r="N200" t="inlineStr"/>
      <c r="O200" t="inlineStr"/>
      <c r="P200" t="inlineStr">
        <is>
          <t>NEUTRAL</t>
        </is>
      </c>
      <c r="Q200" t="inlineStr">
        <is>
          <t>INCLUDED</t>
        </is>
      </c>
      <c r="R200" t="n">
        <v>-8</v>
      </c>
      <c r="S200" t="inlineStr">
        <is>
          <t>Fixed Stop Loss</t>
        </is>
      </c>
      <c r="T200" t="n">
        <v>0.4761</v>
      </c>
      <c r="U200" t="inlineStr"/>
      <c r="V200" t="inlineStr">
        <is>
          <t>2026-02-11</t>
        </is>
      </c>
      <c r="W200" t="inlineStr">
        <is>
          <t>Between R1 and S1</t>
        </is>
      </c>
      <c r="X200" t="n">
        <v>25957.44</v>
      </c>
      <c r="Y200" t="n">
        <v>25992.92</v>
      </c>
      <c r="Z200" t="n">
        <v>25873.92</v>
      </c>
      <c r="AA200" t="n">
        <v>26050.68</v>
      </c>
      <c r="AB200" t="n">
        <v>25812.68</v>
      </c>
      <c r="AC200" t="n">
        <v>26111.92</v>
      </c>
      <c r="AD200" t="n">
        <v>25754.92</v>
      </c>
    </row>
    <row r="201">
      <c r="A201">
        <f>HYPERLINK("../../data/FEB17_DYNAMIC/FEB11/OTM/NIFTY2621725950PE_strategy.csv", "NIFTY2621725950PE")</f>
        <v/>
      </c>
      <c r="B201" t="inlineStr">
        <is>
          <t>PE</t>
        </is>
      </c>
      <c r="C201" t="inlineStr">
        <is>
          <t>11:41:01</t>
        </is>
      </c>
      <c r="D201" t="inlineStr">
        <is>
          <t>12:19:00</t>
        </is>
      </c>
      <c r="E201" t="n">
        <v>99.59999999999999</v>
      </c>
      <c r="F201" t="n">
        <v>109.5</v>
      </c>
      <c r="G201" t="n">
        <v>94462.64999999999</v>
      </c>
      <c r="H201" t="n">
        <v>100000</v>
      </c>
      <c r="I201" t="n">
        <v>70000</v>
      </c>
      <c r="J201" t="inlineStr">
        <is>
          <t>EXECUTED</t>
        </is>
      </c>
      <c r="K201" t="n">
        <v>15.51</v>
      </c>
      <c r="L201" t="n">
        <v>-5.12</v>
      </c>
      <c r="M201">
        <f>HYPERLINK("../../data/FEB17_DYNAMIC/FEB11/OTM/NIFTY2621725950PE_strategy.html", "View")</f>
        <v/>
      </c>
      <c r="N201" t="inlineStr"/>
      <c r="O201" t="inlineStr"/>
      <c r="P201" t="inlineStr">
        <is>
          <t>NEUTRAL</t>
        </is>
      </c>
      <c r="Q201" t="inlineStr">
        <is>
          <t>INCLUDED</t>
        </is>
      </c>
      <c r="R201" t="n">
        <v>9.94</v>
      </c>
      <c r="S201" t="inlineStr">
        <is>
          <t>Dynamic Trailing MA (Fast/Slow MA)</t>
        </is>
      </c>
      <c r="T201" t="n">
        <v>0.4099</v>
      </c>
      <c r="U201" t="n">
        <v>0.6708</v>
      </c>
      <c r="V201" t="inlineStr">
        <is>
          <t>2026-02-11</t>
        </is>
      </c>
      <c r="W201" t="inlineStr">
        <is>
          <t>Between R1 and S1</t>
        </is>
      </c>
      <c r="X201" t="n">
        <v>25964.92</v>
      </c>
      <c r="Y201" t="n">
        <v>25992.92</v>
      </c>
      <c r="Z201" t="n">
        <v>25873.92</v>
      </c>
      <c r="AA201" t="n">
        <v>26050.68</v>
      </c>
      <c r="AB201" t="n">
        <v>25812.68</v>
      </c>
      <c r="AC201" t="n">
        <v>26111.92</v>
      </c>
      <c r="AD201" t="n">
        <v>25754.92</v>
      </c>
    </row>
    <row r="202">
      <c r="A202">
        <f>HYPERLINK("../../data/FEB17_DYNAMIC/FEB11/OTM/NIFTY2621726000CE_strategy.csv", "NIFTY2621726000CE")</f>
        <v/>
      </c>
      <c r="B202" t="inlineStr">
        <is>
          <t>CE</t>
        </is>
      </c>
      <c r="C202" t="inlineStr">
        <is>
          <t>11:16:01</t>
        </is>
      </c>
      <c r="D202" t="inlineStr">
        <is>
          <t>11:44:00</t>
        </is>
      </c>
      <c r="E202" t="n">
        <v>114.55</v>
      </c>
      <c r="F202" t="n">
        <v>112.16</v>
      </c>
      <c r="G202" t="n">
        <v>85922</v>
      </c>
      <c r="H202" t="n">
        <v>100000</v>
      </c>
      <c r="I202" t="n">
        <v>70000</v>
      </c>
      <c r="J202" t="inlineStr">
        <is>
          <t>EXECUTED</t>
        </is>
      </c>
      <c r="K202" t="n">
        <v>7.99</v>
      </c>
      <c r="L202" t="n">
        <v>-6.85</v>
      </c>
      <c r="M202">
        <f>HYPERLINK("../../data/FEB17_DYNAMIC/FEB11/OTM/NIFTY2621726000CE_strategy.html", "View")</f>
        <v/>
      </c>
      <c r="N202" t="inlineStr"/>
      <c r="O202" t="inlineStr"/>
      <c r="P202" t="inlineStr">
        <is>
          <t>NEUTRAL</t>
        </is>
      </c>
      <c r="Q202" t="inlineStr">
        <is>
          <t>INCLUDED</t>
        </is>
      </c>
      <c r="R202" t="n">
        <v>-2.09</v>
      </c>
      <c r="S202" t="inlineStr">
        <is>
          <t>SuperTrend Stop Loss Exit</t>
        </is>
      </c>
      <c r="T202" t="n">
        <v>0.526</v>
      </c>
      <c r="U202" t="n">
        <v>0.7778</v>
      </c>
      <c r="V202" t="inlineStr">
        <is>
          <t>2026-02-11</t>
        </is>
      </c>
      <c r="W202" t="inlineStr">
        <is>
          <t>Between R1 and S1</t>
        </is>
      </c>
      <c r="X202" t="n">
        <v>25963.41</v>
      </c>
      <c r="Y202" t="n">
        <v>25992.92</v>
      </c>
      <c r="Z202" t="n">
        <v>25873.92</v>
      </c>
      <c r="AA202" t="n">
        <v>26050.68</v>
      </c>
      <c r="AB202" t="n">
        <v>25812.68</v>
      </c>
      <c r="AC202" t="n">
        <v>26111.92</v>
      </c>
      <c r="AD202" t="n">
        <v>25754.92</v>
      </c>
    </row>
    <row r="203">
      <c r="A203">
        <f>HYPERLINK("../../data/FEB17_DYNAMIC/FEB11/OTM/NIFTY2621726000CE_strategy.csv", "NIFTY2621726000CE")</f>
        <v/>
      </c>
      <c r="B203" t="inlineStr">
        <is>
          <t>CE</t>
        </is>
      </c>
      <c r="C203" t="inlineStr">
        <is>
          <t>11:05:01</t>
        </is>
      </c>
      <c r="D203" t="inlineStr">
        <is>
          <t>11:07:00</t>
        </is>
      </c>
      <c r="E203" t="n">
        <v>121.7</v>
      </c>
      <c r="F203" t="n">
        <v>113.79</v>
      </c>
      <c r="G203" t="n">
        <v>87756.10000000001</v>
      </c>
      <c r="H203" t="n">
        <v>100000</v>
      </c>
      <c r="I203" t="n">
        <v>70000</v>
      </c>
      <c r="J203" t="inlineStr">
        <is>
          <t>EXECUTED</t>
        </is>
      </c>
      <c r="K203" t="n">
        <v>0.49</v>
      </c>
      <c r="L203" t="n">
        <v>-5.83</v>
      </c>
      <c r="M203">
        <f>HYPERLINK("../../data/FEB17_DYNAMIC/FEB11/OTM/NIFTY2621726000CE_strategy.html", "View")</f>
        <v/>
      </c>
      <c r="N203" t="inlineStr"/>
      <c r="O203" t="inlineStr"/>
      <c r="P203" t="inlineStr">
        <is>
          <t>NEUTRAL</t>
        </is>
      </c>
      <c r="Q203" t="inlineStr">
        <is>
          <t>INCLUDED</t>
        </is>
      </c>
      <c r="R203" t="n">
        <v>-6.5</v>
      </c>
      <c r="S203" t="inlineStr">
        <is>
          <t>Fixed Stop Loss</t>
        </is>
      </c>
      <c r="T203" t="n">
        <v>0.3721</v>
      </c>
      <c r="U203" t="inlineStr"/>
      <c r="V203" t="inlineStr">
        <is>
          <t>2026-02-11</t>
        </is>
      </c>
      <c r="W203" t="inlineStr">
        <is>
          <t>Between R1 and S1</t>
        </is>
      </c>
      <c r="X203" t="n">
        <v>25968.11</v>
      </c>
      <c r="Y203" t="n">
        <v>25992.92</v>
      </c>
      <c r="Z203" t="n">
        <v>25873.92</v>
      </c>
      <c r="AA203" t="n">
        <v>26050.68</v>
      </c>
      <c r="AB203" t="n">
        <v>25812.68</v>
      </c>
      <c r="AC203" t="n">
        <v>26111.92</v>
      </c>
      <c r="AD203" t="n">
        <v>25754.92</v>
      </c>
    </row>
    <row r="204">
      <c r="A204">
        <f>HYPERLINK("../../data/FEB17_DYNAMIC/FEB11/OTM/NIFTY2621725950CE_strategy.csv", "NIFTY2621725950CE")</f>
        <v/>
      </c>
      <c r="B204" t="inlineStr">
        <is>
          <t>CE</t>
        </is>
      </c>
      <c r="C204" t="inlineStr">
        <is>
          <t>10:17:01</t>
        </is>
      </c>
      <c r="D204" t="inlineStr">
        <is>
          <t>10:54:00</t>
        </is>
      </c>
      <c r="E204" t="n">
        <v>137.8</v>
      </c>
      <c r="F204" t="n">
        <v>147.94</v>
      </c>
      <c r="G204" t="n">
        <v>93856.8</v>
      </c>
      <c r="H204" t="n">
        <v>100000</v>
      </c>
      <c r="I204" t="n">
        <v>70000</v>
      </c>
      <c r="J204" t="inlineStr">
        <is>
          <t>EXECUTED</t>
        </is>
      </c>
      <c r="K204" t="n">
        <v>15.42</v>
      </c>
      <c r="L204" t="n">
        <v>-6.93</v>
      </c>
      <c r="M204">
        <f>HYPERLINK("../../data/FEB17_DYNAMIC/FEB11/OTM/NIFTY2621725950CE_strategy.html", "View")</f>
        <v/>
      </c>
      <c r="N204" t="inlineStr"/>
      <c r="O204" t="inlineStr"/>
      <c r="P204" t="inlineStr">
        <is>
          <t>NEUTRAL</t>
        </is>
      </c>
      <c r="Q204" t="inlineStr">
        <is>
          <t>INCLUDED</t>
        </is>
      </c>
      <c r="R204" t="n">
        <v>7.36</v>
      </c>
      <c r="S204" t="inlineStr">
        <is>
          <t>SuperTrend Stop Loss Exit</t>
        </is>
      </c>
      <c r="T204" t="n">
        <v>0.6263</v>
      </c>
      <c r="U204" t="n">
        <v>0.731</v>
      </c>
      <c r="V204" t="inlineStr">
        <is>
          <t>2026-02-11</t>
        </is>
      </c>
      <c r="W204" t="inlineStr">
        <is>
          <t>Between R1 and S1</t>
        </is>
      </c>
      <c r="X204" t="n">
        <v>25937.19</v>
      </c>
      <c r="Y204" t="n">
        <v>25992.92</v>
      </c>
      <c r="Z204" t="n">
        <v>25873.92</v>
      </c>
      <c r="AA204" t="n">
        <v>26050.68</v>
      </c>
      <c r="AB204" t="n">
        <v>25812.68</v>
      </c>
      <c r="AC204" t="n">
        <v>26111.92</v>
      </c>
      <c r="AD204" t="n">
        <v>25754.92</v>
      </c>
    </row>
    <row r="205">
      <c r="A205">
        <f>HYPERLINK("../../data/FEB17_DYNAMIC/FEB11/OTM/NIFTY2621725950CE_strategy.csv", "NIFTY2621725950CE")</f>
        <v/>
      </c>
      <c r="B205" t="inlineStr">
        <is>
          <t>CE</t>
        </is>
      </c>
      <c r="C205" t="inlineStr">
        <is>
          <t>10:11:01</t>
        </is>
      </c>
      <c r="D205" t="inlineStr">
        <is>
          <t>10:13:00</t>
        </is>
      </c>
      <c r="E205" t="n">
        <v>138.75</v>
      </c>
      <c r="F205" t="n">
        <v>129.73</v>
      </c>
      <c r="G205" t="n">
        <v>87422.5</v>
      </c>
      <c r="H205" t="n">
        <v>100000</v>
      </c>
      <c r="I205" t="n">
        <v>70000</v>
      </c>
      <c r="J205" t="inlineStr">
        <is>
          <t>EXECUTED</t>
        </is>
      </c>
      <c r="K205" t="n">
        <v>0</v>
      </c>
      <c r="L205" t="n">
        <v>-4.86</v>
      </c>
      <c r="M205">
        <f>HYPERLINK("../../data/FEB17_DYNAMIC/FEB11/OTM/NIFTY2621725950CE_strategy.html", "View")</f>
        <v/>
      </c>
      <c r="N205" t="inlineStr"/>
      <c r="O205" t="inlineStr"/>
      <c r="P205" t="inlineStr">
        <is>
          <t>NEUTRAL</t>
        </is>
      </c>
      <c r="Q205" t="inlineStr">
        <is>
          <t>INCLUDED</t>
        </is>
      </c>
      <c r="R205" t="n">
        <v>-6.5</v>
      </c>
      <c r="S205" t="inlineStr">
        <is>
          <t>Fixed Stop Loss</t>
        </is>
      </c>
      <c r="T205" t="n">
        <v>0.2807</v>
      </c>
      <c r="U205" t="inlineStr"/>
      <c r="V205" t="inlineStr">
        <is>
          <t>2026-02-11</t>
        </is>
      </c>
      <c r="W205" t="inlineStr">
        <is>
          <t>Between R1 and S1</t>
        </is>
      </c>
      <c r="X205" t="n">
        <v>25930.09</v>
      </c>
      <c r="Y205" t="n">
        <v>25992.92</v>
      </c>
      <c r="Z205" t="n">
        <v>25873.92</v>
      </c>
      <c r="AA205" t="n">
        <v>26050.68</v>
      </c>
      <c r="AB205" t="n">
        <v>25812.68</v>
      </c>
      <c r="AC205" t="n">
        <v>26111.92</v>
      </c>
      <c r="AD205" t="n">
        <v>25754.92</v>
      </c>
    </row>
    <row r="206">
      <c r="A206">
        <f>HYPERLINK("../../data/FEB17_DYNAMIC/FEB11/OTM/NIFTY2621725950CE_strategy.csv", "NIFTY2621725950CE")</f>
        <v/>
      </c>
      <c r="B206" t="inlineStr">
        <is>
          <t>CE</t>
        </is>
      </c>
      <c r="C206" t="inlineStr">
        <is>
          <t>09:54:01</t>
        </is>
      </c>
      <c r="D206" t="inlineStr">
        <is>
          <t>10:00:00</t>
        </is>
      </c>
      <c r="E206" t="n">
        <v>149.5</v>
      </c>
      <c r="F206" t="n">
        <v>139.78</v>
      </c>
      <c r="G206" t="n">
        <v>93500</v>
      </c>
      <c r="H206" t="n">
        <v>100000</v>
      </c>
      <c r="I206" t="n">
        <v>70000</v>
      </c>
      <c r="J206" t="inlineStr">
        <is>
          <t>EXECUTED</t>
        </is>
      </c>
      <c r="K206" t="n">
        <v>0.84</v>
      </c>
      <c r="L206" t="n">
        <v>-7.83</v>
      </c>
      <c r="M206">
        <f>HYPERLINK("../../data/FEB17_DYNAMIC/FEB11/OTM/NIFTY2621725950CE_strategy.html", "View")</f>
        <v/>
      </c>
      <c r="N206" t="inlineStr"/>
      <c r="O206" t="inlineStr"/>
      <c r="P206" t="inlineStr">
        <is>
          <t>BULLISH</t>
        </is>
      </c>
      <c r="Q206" t="inlineStr">
        <is>
          <t>INCLUDED (HYBRID_v5_BULLISH_CE)</t>
        </is>
      </c>
      <c r="R206" t="n">
        <v>-6.5</v>
      </c>
      <c r="S206" t="inlineStr">
        <is>
          <t>Fixed Stop Loss</t>
        </is>
      </c>
      <c r="T206" t="n">
        <v>0.6899</v>
      </c>
      <c r="U206" t="inlineStr"/>
      <c r="V206" t="inlineStr">
        <is>
          <t>2026-02-11</t>
        </is>
      </c>
      <c r="W206" t="inlineStr">
        <is>
          <t>Between R1 and S1</t>
        </is>
      </c>
      <c r="X206" t="n">
        <v>25949.38</v>
      </c>
      <c r="Y206" t="n">
        <v>25992.92</v>
      </c>
      <c r="Z206" t="n">
        <v>25873.92</v>
      </c>
      <c r="AA206" t="n">
        <v>26050.68</v>
      </c>
      <c r="AB206" t="n">
        <v>25812.68</v>
      </c>
      <c r="AC206" t="n">
        <v>26111.92</v>
      </c>
      <c r="AD206" t="n">
        <v>25754.92</v>
      </c>
    </row>
    <row r="207">
      <c r="A207">
        <f>HYPERLINK("../../data/FEB17_DYNAMIC/FEB16/OTM/NIFTY2621725600CE_strategy.csv", "NIFTY2621725600CE")</f>
        <v/>
      </c>
      <c r="B207" t="inlineStr">
        <is>
          <t>CE</t>
        </is>
      </c>
      <c r="C207" t="inlineStr">
        <is>
          <t>14:14:01</t>
        </is>
      </c>
      <c r="D207" t="inlineStr">
        <is>
          <t>15:14:00</t>
        </is>
      </c>
      <c r="E207" t="n">
        <v>69</v>
      </c>
      <c r="F207" t="n">
        <v>135</v>
      </c>
      <c r="G207" t="n">
        <v>300745.21</v>
      </c>
      <c r="H207" t="n">
        <v>300745.21</v>
      </c>
      <c r="I207" t="n">
        <v>210521.64</v>
      </c>
      <c r="J207" t="inlineStr">
        <is>
          <t>EXECUTED</t>
        </is>
      </c>
      <c r="K207" t="n">
        <v>109.64</v>
      </c>
      <c r="L207" t="n">
        <v>-14.93</v>
      </c>
      <c r="M207">
        <f>HYPERLINK("../../data/FEB17_DYNAMIC/FEB16/OTM/NIFTY2621725600CE_strategy.html", "View")</f>
        <v/>
      </c>
      <c r="N207" t="inlineStr"/>
      <c r="O207" t="inlineStr"/>
      <c r="P207" t="inlineStr">
        <is>
          <t>BULLISH</t>
        </is>
      </c>
      <c r="Q207" t="inlineStr">
        <is>
          <t>INCLUDED (HYBRID_v5_BULLISH_CE)</t>
        </is>
      </c>
      <c r="R207" t="n">
        <v>95.65000000000001</v>
      </c>
      <c r="S207" t="inlineStr">
        <is>
          <t>EOD Exit</t>
        </is>
      </c>
      <c r="T207" t="n">
        <v>0.5827</v>
      </c>
      <c r="U207" t="n">
        <v>0.7295</v>
      </c>
      <c r="V207" t="inlineStr">
        <is>
          <t>2026-02-16</t>
        </is>
      </c>
      <c r="W207" t="inlineStr">
        <is>
          <t>Between R1 and S1</t>
        </is>
      </c>
      <c r="X207" t="n">
        <v>25580.78</v>
      </c>
      <c r="Y207" t="n">
        <v>25586.2</v>
      </c>
      <c r="Z207" t="n">
        <v>25400.15</v>
      </c>
      <c r="AA207" t="n">
        <v>25701.3</v>
      </c>
      <c r="AB207" t="n">
        <v>25329.2</v>
      </c>
      <c r="AC207" t="n">
        <v>25772.25</v>
      </c>
      <c r="AD207" t="n">
        <v>25214.1</v>
      </c>
    </row>
    <row r="208">
      <c r="A208">
        <f>HYPERLINK("../../data/FEB17_DYNAMIC/FEB16/OTM/NIFTY2621725600CE_strategy.csv", "NIFTY2621725600CE")</f>
        <v/>
      </c>
      <c r="B208" t="inlineStr">
        <is>
          <t>CE</t>
        </is>
      </c>
      <c r="C208" t="inlineStr">
        <is>
          <t>14:01:01</t>
        </is>
      </c>
      <c r="D208" t="inlineStr">
        <is>
          <t>14:06:00</t>
        </is>
      </c>
      <c r="E208" t="n">
        <v>65.5</v>
      </c>
      <c r="F208" t="n">
        <v>60.26</v>
      </c>
      <c r="G208" t="n">
        <v>153715.92</v>
      </c>
      <c r="H208" t="n">
        <v>181591.7</v>
      </c>
      <c r="I208" t="n">
        <v>127114.19</v>
      </c>
      <c r="J208" t="inlineStr">
        <is>
          <t>EXECUTED</t>
        </is>
      </c>
      <c r="K208" t="n">
        <v>3.21</v>
      </c>
      <c r="L208" t="n">
        <v>-7.1</v>
      </c>
      <c r="M208">
        <f>HYPERLINK("../../data/FEB17_DYNAMIC/FEB16/OTM/NIFTY2621725600CE_strategy.html", "View")</f>
        <v/>
      </c>
      <c r="N208" t="inlineStr"/>
      <c r="O208" t="inlineStr"/>
      <c r="P208" t="inlineStr">
        <is>
          <t>BULLISH</t>
        </is>
      </c>
      <c r="Q208" t="inlineStr">
        <is>
          <t>INCLUDED (HYBRID_v5_BULLISH_CE)</t>
        </is>
      </c>
      <c r="R208" t="n">
        <v>-8</v>
      </c>
      <c r="S208" t="inlineStr">
        <is>
          <t>Fixed Stop Loss</t>
        </is>
      </c>
      <c r="T208" t="n">
        <v>0.3551</v>
      </c>
      <c r="U208" t="inlineStr"/>
      <c r="V208" t="inlineStr">
        <is>
          <t>2026-02-16</t>
        </is>
      </c>
      <c r="W208" t="inlineStr">
        <is>
          <t>Between R1 and S1</t>
        </is>
      </c>
      <c r="X208" t="n">
        <v>25576.59</v>
      </c>
      <c r="Y208" t="n">
        <v>25586.2</v>
      </c>
      <c r="Z208" t="n">
        <v>25400.15</v>
      </c>
      <c r="AA208" t="n">
        <v>25701.3</v>
      </c>
      <c r="AB208" t="n">
        <v>25329.2</v>
      </c>
      <c r="AC208" t="n">
        <v>25772.25</v>
      </c>
      <c r="AD208" t="n">
        <v>25214.1</v>
      </c>
    </row>
    <row r="209">
      <c r="A209">
        <f>HYPERLINK("../../data/FEB17_DYNAMIC/FEB16/OTM/NIFTY2621725600CE_strategy.csv", "NIFTY2621725600CE")</f>
        <v/>
      </c>
      <c r="B209" t="inlineStr">
        <is>
          <t>CE</t>
        </is>
      </c>
      <c r="C209" t="inlineStr">
        <is>
          <t>13:02:01</t>
        </is>
      </c>
      <c r="D209" t="inlineStr">
        <is>
          <t>13:07:00</t>
        </is>
      </c>
      <c r="E209" t="n">
        <v>68.55</v>
      </c>
      <c r="F209" t="n">
        <v>63.07</v>
      </c>
      <c r="G209" t="n">
        <v>167082.53</v>
      </c>
      <c r="H209" t="n">
        <v>181591.7</v>
      </c>
      <c r="I209" t="n">
        <v>127114.19</v>
      </c>
      <c r="J209" t="inlineStr">
        <is>
          <t>EXECUTED</t>
        </is>
      </c>
      <c r="K209" t="n">
        <v>0.66</v>
      </c>
      <c r="L209" t="n">
        <v>-16.85</v>
      </c>
      <c r="M209">
        <f>HYPERLINK("../../data/FEB17_DYNAMIC/FEB16/OTM/NIFTY2621725600CE_strategy.html", "View")</f>
        <v/>
      </c>
      <c r="N209" t="inlineStr"/>
      <c r="O209" t="inlineStr"/>
      <c r="P209" t="inlineStr">
        <is>
          <t>BULLISH</t>
        </is>
      </c>
      <c r="Q209" t="inlineStr">
        <is>
          <t>INCLUDED (HYBRID_v5_BULLISH_CE)</t>
        </is>
      </c>
      <c r="R209" t="n">
        <v>-7.99</v>
      </c>
      <c r="S209" t="inlineStr">
        <is>
          <t>Fixed SL Exit</t>
        </is>
      </c>
      <c r="T209" t="n">
        <v>0.5569</v>
      </c>
      <c r="U209" t="inlineStr"/>
      <c r="V209" t="inlineStr">
        <is>
          <t>2026-02-16</t>
        </is>
      </c>
      <c r="W209" t="inlineStr">
        <is>
          <t>Between R1 and S1</t>
        </is>
      </c>
      <c r="X209" t="n">
        <v>25577.47</v>
      </c>
      <c r="Y209" t="n">
        <v>25586.2</v>
      </c>
      <c r="Z209" t="n">
        <v>25400.15</v>
      </c>
      <c r="AA209" t="n">
        <v>25701.3</v>
      </c>
      <c r="AB209" t="n">
        <v>25329.2</v>
      </c>
      <c r="AC209" t="n">
        <v>25772.25</v>
      </c>
      <c r="AD209" t="n">
        <v>25214.1</v>
      </c>
    </row>
    <row r="210">
      <c r="A210">
        <f>HYPERLINK("../../data/FEB17_DYNAMIC/FEB16/OTM/NIFTY2621725550CE_strategy.csv", "NIFTY2621725550CE")</f>
        <v/>
      </c>
      <c r="B210" t="inlineStr">
        <is>
          <t>CE</t>
        </is>
      </c>
      <c r="C210" t="inlineStr">
        <is>
          <t>11:58:01</t>
        </is>
      </c>
      <c r="D210" t="inlineStr">
        <is>
          <t>12:49:00</t>
        </is>
      </c>
      <c r="E210" t="n">
        <v>68.55</v>
      </c>
      <c r="F210" t="n">
        <v>88.5</v>
      </c>
      <c r="G210" t="n">
        <v>181591.7</v>
      </c>
      <c r="H210" t="n">
        <v>181591.7</v>
      </c>
      <c r="I210" t="n">
        <v>127114.19</v>
      </c>
      <c r="J210" t="inlineStr">
        <is>
          <t>EXECUTED</t>
        </is>
      </c>
      <c r="K210" t="n">
        <v>54.56</v>
      </c>
      <c r="L210" t="n">
        <v>-9.41</v>
      </c>
      <c r="M210">
        <f>HYPERLINK("../../data/FEB17_DYNAMIC/FEB16/OTM/NIFTY2621725550CE_strategy.html", "View")</f>
        <v/>
      </c>
      <c r="N210" t="inlineStr"/>
      <c r="O210" t="inlineStr"/>
      <c r="P210" t="inlineStr">
        <is>
          <t>BULLISH</t>
        </is>
      </c>
      <c r="Q210" t="inlineStr">
        <is>
          <t>INCLUDED (HYBRID_v5_BULLISH_CE)</t>
        </is>
      </c>
      <c r="R210" t="n">
        <v>29.1</v>
      </c>
      <c r="S210" t="inlineStr">
        <is>
          <t>SuperTrend Stop Loss Exit</t>
        </is>
      </c>
      <c r="T210" t="n">
        <v>0.4111</v>
      </c>
      <c r="U210" t="n">
        <v>0.7391</v>
      </c>
      <c r="V210" t="inlineStr">
        <is>
          <t>2026-02-16</t>
        </is>
      </c>
      <c r="W210" t="inlineStr">
        <is>
          <t>Between R1 and S1</t>
        </is>
      </c>
      <c r="X210" t="n">
        <v>25522.78</v>
      </c>
      <c r="Y210" t="n">
        <v>25586.2</v>
      </c>
      <c r="Z210" t="n">
        <v>25400.15</v>
      </c>
      <c r="AA210" t="n">
        <v>25701.3</v>
      </c>
      <c r="AB210" t="n">
        <v>25329.2</v>
      </c>
      <c r="AC210" t="n">
        <v>25772.25</v>
      </c>
      <c r="AD210" t="n">
        <v>25214.1</v>
      </c>
    </row>
    <row r="211">
      <c r="A211">
        <f>HYPERLINK("../../data/FEB17_DYNAMIC/FEB16/OTM/NIFTY2621725500PE_strategy.csv", "NIFTY2621725500PE")</f>
        <v/>
      </c>
      <c r="B211" t="inlineStr">
        <is>
          <t>PE</t>
        </is>
      </c>
      <c r="C211" t="inlineStr">
        <is>
          <t>11:27:01</t>
        </is>
      </c>
      <c r="D211" t="inlineStr">
        <is>
          <t>11:47:00</t>
        </is>
      </c>
      <c r="E211" t="n">
        <v>65.59999999999999</v>
      </c>
      <c r="F211" t="n">
        <v>73.45</v>
      </c>
      <c r="G211" t="n">
        <v>140659.72</v>
      </c>
      <c r="H211" t="n">
        <v>148420</v>
      </c>
      <c r="I211" t="n">
        <v>103894</v>
      </c>
      <c r="J211" t="inlineStr">
        <is>
          <t>EXECUTED</t>
        </is>
      </c>
      <c r="K211" t="n">
        <v>14.33</v>
      </c>
      <c r="L211" t="n">
        <v>-13.8</v>
      </c>
      <c r="M211">
        <f>HYPERLINK("../../data/FEB17_DYNAMIC/FEB16/OTM/NIFTY2621725500PE_strategy.html", "View")</f>
        <v/>
      </c>
      <c r="N211" t="inlineStr"/>
      <c r="O211" t="inlineStr"/>
      <c r="P211" t="inlineStr">
        <is>
          <t>BEARISH</t>
        </is>
      </c>
      <c r="Q211" t="inlineStr">
        <is>
          <t>INCLUDED (HYBRID_v5_BEARISH_PE)</t>
        </is>
      </c>
      <c r="R211" t="n">
        <v>11.97</v>
      </c>
      <c r="S211" t="inlineStr">
        <is>
          <t>Dynamic Trailing MA (Fast/Slow MA)</t>
        </is>
      </c>
      <c r="T211" t="n">
        <v>0.3937</v>
      </c>
      <c r="U211" t="n">
        <v>0.5548999999999999</v>
      </c>
      <c r="V211" t="inlineStr">
        <is>
          <t>2026-02-16</t>
        </is>
      </c>
      <c r="W211" t="inlineStr">
        <is>
          <t>Between R1 and S1</t>
        </is>
      </c>
      <c r="X211" t="n">
        <v>25526.88</v>
      </c>
      <c r="Y211" t="n">
        <v>25586.2</v>
      </c>
      <c r="Z211" t="n">
        <v>25400.15</v>
      </c>
      <c r="AA211" t="n">
        <v>25701.3</v>
      </c>
      <c r="AB211" t="n">
        <v>25329.2</v>
      </c>
      <c r="AC211" t="n">
        <v>25772.25</v>
      </c>
      <c r="AD211" t="n">
        <v>25214.1</v>
      </c>
    </row>
    <row r="212">
      <c r="A212">
        <f>HYPERLINK("../../data/FEB17_DYNAMIC/FEB16/OTM/NIFTY2621725550CE_strategy.csv", "NIFTY2621725550CE")</f>
        <v/>
      </c>
      <c r="B212" t="inlineStr">
        <is>
          <t>CE</t>
        </is>
      </c>
      <c r="C212" t="inlineStr">
        <is>
          <t>11:05:01</t>
        </is>
      </c>
      <c r="D212" t="inlineStr">
        <is>
          <t>11:12:00</t>
        </is>
      </c>
      <c r="E212" t="n">
        <v>80.34999999999999</v>
      </c>
      <c r="F212" t="n">
        <v>73.92</v>
      </c>
      <c r="G212" t="n">
        <v>125622.69</v>
      </c>
      <c r="H212" t="n">
        <v>148420</v>
      </c>
      <c r="I212" t="n">
        <v>103894</v>
      </c>
      <c r="J212" t="inlineStr">
        <is>
          <t>EXECUTED</t>
        </is>
      </c>
      <c r="K212" t="n">
        <v>0.87</v>
      </c>
      <c r="L212" t="n">
        <v>-15.87</v>
      </c>
      <c r="M212">
        <f>HYPERLINK("../../data/FEB17_DYNAMIC/FEB16/OTM/NIFTY2621725550CE_strategy.html", "View")</f>
        <v/>
      </c>
      <c r="N212" t="inlineStr"/>
      <c r="O212" t="inlineStr"/>
      <c r="P212" t="inlineStr">
        <is>
          <t>BULLISH</t>
        </is>
      </c>
      <c r="Q212" t="inlineStr">
        <is>
          <t>INCLUDED (HYBRID_v5_BULLISH_CE)</t>
        </is>
      </c>
      <c r="R212" t="n">
        <v>-8</v>
      </c>
      <c r="S212" t="inlineStr">
        <is>
          <t>Fixed Stop Loss</t>
        </is>
      </c>
      <c r="T212" t="n">
        <v>0.6268</v>
      </c>
      <c r="U212" t="inlineStr"/>
      <c r="V212" t="inlineStr">
        <is>
          <t>2026-02-16</t>
        </is>
      </c>
      <c r="W212" t="inlineStr">
        <is>
          <t>Between R1 and S1</t>
        </is>
      </c>
      <c r="X212" t="n">
        <v>25531.85</v>
      </c>
      <c r="Y212" t="n">
        <v>25586.2</v>
      </c>
      <c r="Z212" t="n">
        <v>25400.15</v>
      </c>
      <c r="AA212" t="n">
        <v>25701.3</v>
      </c>
      <c r="AB212" t="n">
        <v>25329.2</v>
      </c>
      <c r="AC212" t="n">
        <v>25772.25</v>
      </c>
      <c r="AD212" t="n">
        <v>25214.1</v>
      </c>
    </row>
    <row r="213">
      <c r="A213">
        <f>HYPERLINK("../../data/FEB17_DYNAMIC/FEB16/OTM/NIFTY2621725500PE_strategy.csv", "NIFTY2621725500PE")</f>
        <v/>
      </c>
      <c r="B213" t="inlineStr">
        <is>
          <t>PE</t>
        </is>
      </c>
      <c r="C213" t="inlineStr">
        <is>
          <t>10:51:01</t>
        </is>
      </c>
      <c r="D213" t="inlineStr">
        <is>
          <t>11:00:00</t>
        </is>
      </c>
      <c r="E213" t="n">
        <v>71.15000000000001</v>
      </c>
      <c r="F213" t="n">
        <v>65.45999999999999</v>
      </c>
      <c r="G213" t="n">
        <v>136546.4</v>
      </c>
      <c r="H213" t="n">
        <v>148420</v>
      </c>
      <c r="I213" t="n">
        <v>103894</v>
      </c>
      <c r="J213" t="inlineStr">
        <is>
          <t>EXECUTED</t>
        </is>
      </c>
      <c r="K213" t="n">
        <v>1.62</v>
      </c>
      <c r="L213" t="n">
        <v>-12.3</v>
      </c>
      <c r="M213">
        <f>HYPERLINK("../../data/FEB17_DYNAMIC/FEB16/OTM/NIFTY2621725500PE_strategy.html", "View")</f>
        <v/>
      </c>
      <c r="N213" t="inlineStr"/>
      <c r="O213" t="inlineStr"/>
      <c r="P213" t="inlineStr">
        <is>
          <t>NEUTRAL</t>
        </is>
      </c>
      <c r="Q213" t="inlineStr">
        <is>
          <t>INCLUDED</t>
        </is>
      </c>
      <c r="R213" t="n">
        <v>-8</v>
      </c>
      <c r="S213" t="inlineStr">
        <is>
          <t>Fixed Stop Loss</t>
        </is>
      </c>
      <c r="T213" t="n">
        <v>0.538</v>
      </c>
      <c r="U213" t="inlineStr"/>
      <c r="V213" t="inlineStr">
        <is>
          <t>2026-02-16</t>
        </is>
      </c>
      <c r="W213" t="inlineStr">
        <is>
          <t>Between R1 and S1</t>
        </is>
      </c>
      <c r="X213" t="n">
        <v>25515.5</v>
      </c>
      <c r="Y213" t="n">
        <v>25586.2</v>
      </c>
      <c r="Z213" t="n">
        <v>25400.15</v>
      </c>
      <c r="AA213" t="n">
        <v>25701.3</v>
      </c>
      <c r="AB213" t="n">
        <v>25329.2</v>
      </c>
      <c r="AC213" t="n">
        <v>25772.25</v>
      </c>
      <c r="AD213" t="n">
        <v>25214.1</v>
      </c>
    </row>
    <row r="214">
      <c r="A214">
        <f>HYPERLINK("../../data/FEB17_DYNAMIC/FEB16/OTM/NIFTY2621725500CE_strategy.csv", "NIFTY2621725500CE")</f>
        <v/>
      </c>
      <c r="B214" t="inlineStr">
        <is>
          <t>CE</t>
        </is>
      </c>
      <c r="C214" t="inlineStr">
        <is>
          <t>09:55:01</t>
        </is>
      </c>
      <c r="D214" t="inlineStr">
        <is>
          <t>10:31:00</t>
        </is>
      </c>
      <c r="E214" t="n">
        <v>71.05</v>
      </c>
      <c r="F214" t="n">
        <v>105.45</v>
      </c>
      <c r="G214" t="n">
        <v>148420</v>
      </c>
      <c r="H214" t="n">
        <v>148420</v>
      </c>
      <c r="I214" t="n">
        <v>103894</v>
      </c>
      <c r="J214" t="inlineStr">
        <is>
          <t>EXECUTED</t>
        </is>
      </c>
      <c r="K214" t="n">
        <v>26.69</v>
      </c>
      <c r="L214" t="n">
        <v>-16.12</v>
      </c>
      <c r="M214">
        <f>HYPERLINK("../../data/FEB17_DYNAMIC/FEB16/OTM/NIFTY2621725500CE_strategy.html", "View")</f>
        <v/>
      </c>
      <c r="N214" t="inlineStr"/>
      <c r="O214" t="inlineStr"/>
      <c r="P214" t="inlineStr">
        <is>
          <t>NEUTRAL</t>
        </is>
      </c>
      <c r="Q214" t="inlineStr">
        <is>
          <t>INCLUDED</t>
        </is>
      </c>
      <c r="R214" t="n">
        <v>48.42</v>
      </c>
      <c r="S214" t="inlineStr">
        <is>
          <t>Dynamic Trailing MA (Fast/Slow MA)</t>
        </is>
      </c>
      <c r="T214" t="n">
        <v>0.4103</v>
      </c>
      <c r="U214" t="n">
        <v>0.5841</v>
      </c>
      <c r="V214" t="inlineStr">
        <is>
          <t>2026-02-16</t>
        </is>
      </c>
      <c r="W214" t="inlineStr">
        <is>
          <t>Between R1 and S1</t>
        </is>
      </c>
      <c r="X214" t="n">
        <v>25470.5</v>
      </c>
      <c r="Y214" t="n">
        <v>25586.2</v>
      </c>
      <c r="Z214" t="n">
        <v>25400.15</v>
      </c>
      <c r="AA214" t="n">
        <v>25701.3</v>
      </c>
      <c r="AB214" t="n">
        <v>25329.2</v>
      </c>
      <c r="AC214" t="n">
        <v>25772.25</v>
      </c>
      <c r="AD214" t="n">
        <v>25214.1</v>
      </c>
    </row>
    <row r="215">
      <c r="A215">
        <f>HYPERLINK("../../data/FEB24_DYNAMIC/FEB18/OTM/NIFTY26FEB25750CE_strategy.csv", "NIFTY26FEB25750CE")</f>
        <v/>
      </c>
      <c r="B215" t="inlineStr">
        <is>
          <t>CE</t>
        </is>
      </c>
      <c r="C215" t="inlineStr">
        <is>
          <t>14:06:01</t>
        </is>
      </c>
      <c r="D215" t="inlineStr">
        <is>
          <t>14:31:00</t>
        </is>
      </c>
      <c r="E215" t="n">
        <v>125.9</v>
      </c>
      <c r="F215" t="n">
        <v>161.62</v>
      </c>
      <c r="G215" t="n">
        <v>119429.59</v>
      </c>
      <c r="H215" t="n">
        <v>119429.59</v>
      </c>
      <c r="I215" t="n">
        <v>83600.71000000001</v>
      </c>
      <c r="J215" t="inlineStr">
        <is>
          <t>EXECUTED</t>
        </is>
      </c>
      <c r="K215" t="n">
        <v>42.85</v>
      </c>
      <c r="L215" t="n">
        <v>-4.13</v>
      </c>
      <c r="M215">
        <f>HYPERLINK("../../data/FEB24_DYNAMIC/FEB18/OTM/NIFTY26FEB25750CE_strategy.html", "View")</f>
        <v/>
      </c>
      <c r="N215" t="inlineStr"/>
      <c r="O215" t="inlineStr"/>
      <c r="P215" t="inlineStr">
        <is>
          <t>BULLISH</t>
        </is>
      </c>
      <c r="Q215" t="inlineStr">
        <is>
          <t>INCLUDED (HYBRID_v5_BULLISH_CE)</t>
        </is>
      </c>
      <c r="R215" t="n">
        <v>28.37</v>
      </c>
      <c r="S215" t="inlineStr">
        <is>
          <t>SuperTrend Stop Loss Exit</t>
        </is>
      </c>
      <c r="T215" t="n">
        <v>0.3843</v>
      </c>
      <c r="U215" t="n">
        <v>0.8793</v>
      </c>
      <c r="V215" t="inlineStr">
        <is>
          <t>2026-02-18</t>
        </is>
      </c>
      <c r="W215" t="inlineStr">
        <is>
          <t>Between R1 and S1</t>
        </is>
      </c>
      <c r="X215" t="n">
        <v>25728.39</v>
      </c>
      <c r="Y215" t="n">
        <v>25803.1</v>
      </c>
      <c r="Z215" t="n">
        <v>25609</v>
      </c>
      <c r="AA215" t="n">
        <v>25880.8</v>
      </c>
      <c r="AB215" t="n">
        <v>25492.6</v>
      </c>
      <c r="AC215" t="n">
        <v>25997.2</v>
      </c>
      <c r="AD215" t="n">
        <v>25414.9</v>
      </c>
    </row>
    <row r="216">
      <c r="A216">
        <f>HYPERLINK("../../data/FEB24_DYNAMIC/FEB18/OTM/NIFTY26FEB25700PE_strategy.csv", "NIFTY26FEB25700PE")</f>
        <v/>
      </c>
      <c r="B216" t="inlineStr">
        <is>
          <t>PE</t>
        </is>
      </c>
      <c r="C216" t="inlineStr">
        <is>
          <t>13:54:01</t>
        </is>
      </c>
      <c r="D216" t="inlineStr">
        <is>
          <t>14:05:00</t>
        </is>
      </c>
      <c r="E216" t="n">
        <v>110.8</v>
      </c>
      <c r="F216" t="n">
        <v>104.94</v>
      </c>
      <c r="G216" t="n">
        <v>93035.44</v>
      </c>
      <c r="H216" t="n">
        <v>110497.58</v>
      </c>
      <c r="I216" t="n">
        <v>77348.3</v>
      </c>
      <c r="J216" t="inlineStr">
        <is>
          <t>EXECUTED</t>
        </is>
      </c>
      <c r="K216" t="n">
        <v>5.96</v>
      </c>
      <c r="L216" t="n">
        <v>-10.88</v>
      </c>
      <c r="M216">
        <f>HYPERLINK("../../data/FEB24_DYNAMIC/FEB18/OTM/NIFTY26FEB25700PE_strategy.html", "View")</f>
        <v/>
      </c>
      <c r="N216" t="inlineStr"/>
      <c r="O216" t="inlineStr"/>
      <c r="P216" t="inlineStr">
        <is>
          <t>BEARISH</t>
        </is>
      </c>
      <c r="Q216" t="inlineStr">
        <is>
          <t>INCLUDED (HYBRID_v5_BEARISH_PE)</t>
        </is>
      </c>
      <c r="R216" t="n">
        <v>-5.29</v>
      </c>
      <c r="S216" t="inlineStr">
        <is>
          <t>SuperTrend Stop Loss Exit</t>
        </is>
      </c>
      <c r="T216" t="n">
        <v>0.5969</v>
      </c>
      <c r="U216" t="inlineStr"/>
      <c r="V216" t="inlineStr">
        <is>
          <t>2026-02-18</t>
        </is>
      </c>
      <c r="W216" t="inlineStr">
        <is>
          <t>Between R1 and S1</t>
        </is>
      </c>
      <c r="X216" t="n">
        <v>25704.31</v>
      </c>
      <c r="Y216" t="n">
        <v>25803.1</v>
      </c>
      <c r="Z216" t="n">
        <v>25609</v>
      </c>
      <c r="AA216" t="n">
        <v>25880.8</v>
      </c>
      <c r="AB216" t="n">
        <v>25492.6</v>
      </c>
      <c r="AC216" t="n">
        <v>25997.2</v>
      </c>
      <c r="AD216" t="n">
        <v>25414.9</v>
      </c>
    </row>
    <row r="217">
      <c r="A217">
        <f>HYPERLINK("../../data/FEB24_DYNAMIC/FEB18/OTM/NIFTY26FEB25700PE_strategy.csv", "NIFTY26FEB25700PE")</f>
        <v/>
      </c>
      <c r="B217" t="inlineStr">
        <is>
          <t>PE</t>
        </is>
      </c>
      <c r="C217" t="inlineStr">
        <is>
          <t>13:26:01</t>
        </is>
      </c>
      <c r="D217" t="inlineStr">
        <is>
          <t>13:46:00</t>
        </is>
      </c>
      <c r="E217" t="n">
        <v>105.45</v>
      </c>
      <c r="F217" t="n">
        <v>101.9</v>
      </c>
      <c r="G217" t="n">
        <v>98231.89999999999</v>
      </c>
      <c r="H217" t="n">
        <v>110497.58</v>
      </c>
      <c r="I217" t="n">
        <v>77348.3</v>
      </c>
      <c r="J217" t="inlineStr">
        <is>
          <t>EXECUTED</t>
        </is>
      </c>
      <c r="K217" t="n">
        <v>4.65</v>
      </c>
      <c r="L217" t="n">
        <v>-7.02</v>
      </c>
      <c r="M217">
        <f>HYPERLINK("../../data/FEB24_DYNAMIC/FEB18/OTM/NIFTY26FEB25700PE_strategy.html", "View")</f>
        <v/>
      </c>
      <c r="N217" t="inlineStr"/>
      <c r="O217" t="inlineStr"/>
      <c r="P217" t="inlineStr">
        <is>
          <t>NEUTRAL</t>
        </is>
      </c>
      <c r="Q217" t="inlineStr">
        <is>
          <t>INCLUDED</t>
        </is>
      </c>
      <c r="R217" t="n">
        <v>-3.37</v>
      </c>
      <c r="S217" t="inlineStr">
        <is>
          <t>SuperTrend Stop Loss Exit</t>
        </is>
      </c>
      <c r="T217" t="n">
        <v>0.4347</v>
      </c>
      <c r="U217" t="inlineStr"/>
      <c r="V217" t="inlineStr">
        <is>
          <t>2026-02-18</t>
        </is>
      </c>
      <c r="W217" t="inlineStr">
        <is>
          <t>Between R1 and S1</t>
        </is>
      </c>
      <c r="X217" t="n">
        <v>25733.08</v>
      </c>
      <c r="Y217" t="n">
        <v>25803.1</v>
      </c>
      <c r="Z217" t="n">
        <v>25609</v>
      </c>
      <c r="AA217" t="n">
        <v>25880.8</v>
      </c>
      <c r="AB217" t="n">
        <v>25492.6</v>
      </c>
      <c r="AC217" t="n">
        <v>25997.2</v>
      </c>
      <c r="AD217" t="n">
        <v>25414.9</v>
      </c>
    </row>
    <row r="218">
      <c r="A218">
        <f>HYPERLINK("../../data/FEB24_DYNAMIC/FEB18/OTM/NIFTY26FEB25700PE_strategy.csv", "NIFTY26FEB25700PE")</f>
        <v/>
      </c>
      <c r="B218" t="inlineStr">
        <is>
          <t>PE</t>
        </is>
      </c>
      <c r="C218" t="inlineStr">
        <is>
          <t>12:42:01</t>
        </is>
      </c>
      <c r="D218" t="inlineStr">
        <is>
          <t>12:58:00</t>
        </is>
      </c>
      <c r="E218" t="n">
        <v>112.6</v>
      </c>
      <c r="F218" t="n">
        <v>103.59</v>
      </c>
      <c r="G218" t="n">
        <v>101657.77</v>
      </c>
      <c r="H218" t="n">
        <v>110497.58</v>
      </c>
      <c r="I218" t="n">
        <v>77348.3</v>
      </c>
      <c r="J218" t="inlineStr">
        <is>
          <t>EXECUTED</t>
        </is>
      </c>
      <c r="K218" t="n">
        <v>2.13</v>
      </c>
      <c r="L218" t="n">
        <v>-5.68</v>
      </c>
      <c r="M218">
        <f>HYPERLINK("../../data/FEB24_DYNAMIC/FEB18/OTM/NIFTY26FEB25700PE_strategy.html", "View")</f>
        <v/>
      </c>
      <c r="N218" t="inlineStr"/>
      <c r="O218" t="inlineStr"/>
      <c r="P218" t="inlineStr">
        <is>
          <t>BEARISH</t>
        </is>
      </c>
      <c r="Q218" t="inlineStr">
        <is>
          <t>INCLUDED (HYBRID_v5_BEARISH_PE)</t>
        </is>
      </c>
      <c r="R218" t="n">
        <v>-8</v>
      </c>
      <c r="S218" t="inlineStr">
        <is>
          <t>Fixed Stop Loss</t>
        </is>
      </c>
      <c r="T218" t="n">
        <v>0.401</v>
      </c>
      <c r="U218" t="inlineStr"/>
      <c r="V218" t="inlineStr">
        <is>
          <t>2026-02-18</t>
        </is>
      </c>
      <c r="W218" t="inlineStr">
        <is>
          <t>Between R1 and S1</t>
        </is>
      </c>
      <c r="X218" t="n">
        <v>25722.29</v>
      </c>
      <c r="Y218" t="n">
        <v>25803.1</v>
      </c>
      <c r="Z218" t="n">
        <v>25609</v>
      </c>
      <c r="AA218" t="n">
        <v>25880.8</v>
      </c>
      <c r="AB218" t="n">
        <v>25492.6</v>
      </c>
      <c r="AC218" t="n">
        <v>25997.2</v>
      </c>
      <c r="AD218" t="n">
        <v>25414.9</v>
      </c>
    </row>
    <row r="219">
      <c r="A219">
        <f>HYPERLINK("../../data/FEB24_DYNAMIC/FEB18/OTM/NIFTY26FEB25700CE_strategy.csv", "NIFTY26FEB25700CE")</f>
        <v/>
      </c>
      <c r="B219" t="inlineStr">
        <is>
          <t>CE</t>
        </is>
      </c>
      <c r="C219" t="inlineStr">
        <is>
          <t>11:50:01</t>
        </is>
      </c>
      <c r="D219" t="inlineStr">
        <is>
          <t>12:14:00</t>
        </is>
      </c>
      <c r="E219" t="n">
        <v>134.9</v>
      </c>
      <c r="F219" t="n">
        <v>145.65</v>
      </c>
      <c r="G219" t="n">
        <v>110497.58</v>
      </c>
      <c r="H219" t="n">
        <v>110497.58</v>
      </c>
      <c r="I219" t="n">
        <v>77348.3</v>
      </c>
      <c r="J219" t="inlineStr">
        <is>
          <t>EXECUTED</t>
        </is>
      </c>
      <c r="K219" t="n">
        <v>10.3</v>
      </c>
      <c r="L219" t="n">
        <v>-2.48</v>
      </c>
      <c r="M219">
        <f>HYPERLINK("../../data/FEB24_DYNAMIC/FEB18/OTM/NIFTY26FEB25700CE_strategy.html", "View")</f>
        <v/>
      </c>
      <c r="N219" t="inlineStr"/>
      <c r="O219" t="inlineStr"/>
      <c r="P219" t="inlineStr">
        <is>
          <t>NEUTRAL</t>
        </is>
      </c>
      <c r="Q219" t="inlineStr">
        <is>
          <t>INCLUDED</t>
        </is>
      </c>
      <c r="R219" t="n">
        <v>7.97</v>
      </c>
      <c r="S219" t="inlineStr">
        <is>
          <t>Dynamic Trailing MA (Fast/Slow MA)</t>
        </is>
      </c>
      <c r="T219" t="n">
        <v>0.2534</v>
      </c>
      <c r="U219" t="n">
        <v>0.7339</v>
      </c>
      <c r="V219" t="inlineStr">
        <is>
          <t>2026-02-18</t>
        </is>
      </c>
      <c r="W219" t="inlineStr">
        <is>
          <t>Between R1 and S1</t>
        </is>
      </c>
      <c r="X219" t="n">
        <v>25691.9</v>
      </c>
      <c r="Y219" t="n">
        <v>25803.1</v>
      </c>
      <c r="Z219" t="n">
        <v>25609</v>
      </c>
      <c r="AA219" t="n">
        <v>25880.8</v>
      </c>
      <c r="AB219" t="n">
        <v>25492.6</v>
      </c>
      <c r="AC219" t="n">
        <v>25997.2</v>
      </c>
      <c r="AD219" t="n">
        <v>25414.9</v>
      </c>
    </row>
    <row r="220">
      <c r="A220">
        <f>HYPERLINK("../../data/FEB24_DYNAMIC/FEB18/OTM/NIFTY26FEB25650PE_strategy.csv", "NIFTY26FEB25650PE")</f>
        <v/>
      </c>
      <c r="B220" t="inlineStr">
        <is>
          <t>PE</t>
        </is>
      </c>
      <c r="C220" t="inlineStr">
        <is>
          <t>11:41:01</t>
        </is>
      </c>
      <c r="D220" t="inlineStr">
        <is>
          <t>11:54:00</t>
        </is>
      </c>
      <c r="E220" t="n">
        <v>104.5</v>
      </c>
      <c r="F220" t="n">
        <v>108.3</v>
      </c>
      <c r="G220" t="n">
        <v>102341</v>
      </c>
      <c r="H220" t="n">
        <v>105383.69</v>
      </c>
      <c r="I220" t="n">
        <v>73768.58</v>
      </c>
      <c r="J220" t="inlineStr">
        <is>
          <t>EXECUTED</t>
        </is>
      </c>
      <c r="K220" t="n">
        <v>10</v>
      </c>
      <c r="L220" t="n">
        <v>-8.130000000000001</v>
      </c>
      <c r="M220">
        <f>HYPERLINK("../../data/FEB24_DYNAMIC/FEB18/OTM/NIFTY26FEB25650PE_strategy.html", "View")</f>
        <v/>
      </c>
      <c r="N220" t="inlineStr"/>
      <c r="O220" t="inlineStr"/>
      <c r="P220" t="inlineStr">
        <is>
          <t>NEUTRAL</t>
        </is>
      </c>
      <c r="Q220" t="inlineStr">
        <is>
          <t>INCLUDED</t>
        </is>
      </c>
      <c r="R220" t="n">
        <v>3.64</v>
      </c>
      <c r="S220" t="inlineStr">
        <is>
          <t>Dynamic Trailing MA (Fast/Slow MA)</t>
        </is>
      </c>
      <c r="T220" t="n">
        <v>0.4482</v>
      </c>
      <c r="U220" t="n">
        <v>0.553</v>
      </c>
      <c r="V220" t="inlineStr">
        <is>
          <t>2026-02-18</t>
        </is>
      </c>
      <c r="W220" t="inlineStr">
        <is>
          <t>Between R1 and S1</t>
        </is>
      </c>
      <c r="X220" t="n">
        <v>25692.71</v>
      </c>
      <c r="Y220" t="n">
        <v>25803.1</v>
      </c>
      <c r="Z220" t="n">
        <v>25609</v>
      </c>
      <c r="AA220" t="n">
        <v>25880.8</v>
      </c>
      <c r="AB220" t="n">
        <v>25492.6</v>
      </c>
      <c r="AC220" t="n">
        <v>25997.2</v>
      </c>
      <c r="AD220" t="n">
        <v>25414.9</v>
      </c>
    </row>
    <row r="221">
      <c r="A221">
        <f>HYPERLINK("../../data/FEB24_DYNAMIC/FEB18/OTM/NIFTY26FEB25700CE_strategy.csv", "NIFTY26FEB25700CE")</f>
        <v/>
      </c>
      <c r="B221" t="inlineStr">
        <is>
          <t>CE</t>
        </is>
      </c>
      <c r="C221" t="inlineStr">
        <is>
          <t>11:27:01</t>
        </is>
      </c>
      <c r="D221" t="inlineStr">
        <is>
          <t>11:41:00</t>
        </is>
      </c>
      <c r="E221" t="n">
        <v>136.15</v>
      </c>
      <c r="F221" t="n">
        <v>138.67</v>
      </c>
      <c r="G221" t="n">
        <v>98746.62</v>
      </c>
      <c r="H221" t="n">
        <v>105383.69</v>
      </c>
      <c r="I221" t="n">
        <v>73768.58</v>
      </c>
      <c r="J221" t="inlineStr">
        <is>
          <t>EXECUTED</t>
        </is>
      </c>
      <c r="K221" t="n">
        <v>13.85</v>
      </c>
      <c r="L221" t="n">
        <v>-4.63</v>
      </c>
      <c r="M221">
        <f>HYPERLINK("../../data/FEB24_DYNAMIC/FEB18/OTM/NIFTY26FEB25700CE_strategy.html", "View")</f>
        <v/>
      </c>
      <c r="N221" t="inlineStr"/>
      <c r="O221" t="inlineStr"/>
      <c r="P221" t="inlineStr">
        <is>
          <t>NEUTRAL</t>
        </is>
      </c>
      <c r="Q221" t="inlineStr">
        <is>
          <t>INCLUDED</t>
        </is>
      </c>
      <c r="R221" t="n">
        <v>1.85</v>
      </c>
      <c r="S221" t="inlineStr">
        <is>
          <t>SuperTrend Stop Loss Exit</t>
        </is>
      </c>
      <c r="T221" t="n">
        <v>0.4144</v>
      </c>
      <c r="U221" t="n">
        <v>0.6176</v>
      </c>
      <c r="V221" t="inlineStr">
        <is>
          <t>2026-02-18</t>
        </is>
      </c>
      <c r="W221" t="inlineStr">
        <is>
          <t>Between R1 and S1</t>
        </is>
      </c>
      <c r="X221" t="n">
        <v>25690.31</v>
      </c>
      <c r="Y221" t="n">
        <v>25803.1</v>
      </c>
      <c r="Z221" t="n">
        <v>25609</v>
      </c>
      <c r="AA221" t="n">
        <v>25880.8</v>
      </c>
      <c r="AB221" t="n">
        <v>25492.6</v>
      </c>
      <c r="AC221" t="n">
        <v>25997.2</v>
      </c>
      <c r="AD221" t="n">
        <v>25414.9</v>
      </c>
    </row>
    <row r="222">
      <c r="A222">
        <f>HYPERLINK("../../data/FEB24_DYNAMIC/FEB18/OTM/NIFTY26FEB25650PE_strategy.csv", "NIFTY26FEB25650PE")</f>
        <v/>
      </c>
      <c r="B222" t="inlineStr">
        <is>
          <t>PE</t>
        </is>
      </c>
      <c r="C222" t="inlineStr">
        <is>
          <t>11:13:01</t>
        </is>
      </c>
      <c r="D222" t="inlineStr">
        <is>
          <t>11:14:00</t>
        </is>
      </c>
      <c r="E222" t="n">
        <v>111.35</v>
      </c>
      <c r="F222" t="n">
        <v>102.44</v>
      </c>
      <c r="G222" t="n">
        <v>96952.99000000001</v>
      </c>
      <c r="H222" t="n">
        <v>105383.69</v>
      </c>
      <c r="I222" t="n">
        <v>73768.58</v>
      </c>
      <c r="J222" t="inlineStr">
        <is>
          <t>EXECUTED</t>
        </is>
      </c>
      <c r="K222" t="n">
        <v>0</v>
      </c>
      <c r="L222" t="n">
        <v>-8.4</v>
      </c>
      <c r="M222">
        <f>HYPERLINK("../../data/FEB24_DYNAMIC/FEB18/OTM/NIFTY26FEB25650PE_strategy.html", "View")</f>
        <v/>
      </c>
      <c r="N222" t="inlineStr"/>
      <c r="O222" t="inlineStr"/>
      <c r="P222" t="inlineStr">
        <is>
          <t>NEUTRAL</t>
        </is>
      </c>
      <c r="Q222" t="inlineStr">
        <is>
          <t>INCLUDED</t>
        </is>
      </c>
      <c r="R222" t="n">
        <v>-8</v>
      </c>
      <c r="S222" t="inlineStr">
        <is>
          <t>Fixed Stop Loss</t>
        </is>
      </c>
      <c r="T222" t="n">
        <v>0.7088</v>
      </c>
      <c r="U222" t="inlineStr"/>
      <c r="V222" t="inlineStr">
        <is>
          <t>2026-02-18</t>
        </is>
      </c>
      <c r="W222" t="inlineStr">
        <is>
          <t>Between R1 and S1</t>
        </is>
      </c>
      <c r="X222" t="n">
        <v>25693.55</v>
      </c>
      <c r="Y222" t="n">
        <v>25803.1</v>
      </c>
      <c r="Z222" t="n">
        <v>25609</v>
      </c>
      <c r="AA222" t="n">
        <v>25880.8</v>
      </c>
      <c r="AB222" t="n">
        <v>25492.6</v>
      </c>
      <c r="AC222" t="n">
        <v>25997.2</v>
      </c>
      <c r="AD222" t="n">
        <v>25414.9</v>
      </c>
    </row>
    <row r="223">
      <c r="A223">
        <f>HYPERLINK("../../data/FEB24_DYNAMIC/FEB18/OTM/NIFTY26FEB25700CE_strategy.csv", "NIFTY26FEB25700CE")</f>
        <v/>
      </c>
      <c r="B223" t="inlineStr">
        <is>
          <t>CE</t>
        </is>
      </c>
      <c r="C223" t="inlineStr">
        <is>
          <t>10:32:01</t>
        </is>
      </c>
      <c r="D223" t="inlineStr">
        <is>
          <t>11:12:00</t>
        </is>
      </c>
      <c r="E223" t="n">
        <v>133.05</v>
      </c>
      <c r="F223" t="n">
        <v>139.06</v>
      </c>
      <c r="G223" t="n">
        <v>105383.69</v>
      </c>
      <c r="H223" t="n">
        <v>105383.69</v>
      </c>
      <c r="I223" t="n">
        <v>73768.58</v>
      </c>
      <c r="J223" t="inlineStr">
        <is>
          <t>EXECUTED</t>
        </is>
      </c>
      <c r="K223" t="n">
        <v>13.3</v>
      </c>
      <c r="L223" t="n">
        <v>-6.88</v>
      </c>
      <c r="M223">
        <f>HYPERLINK("../../data/FEB24_DYNAMIC/FEB18/OTM/NIFTY26FEB25700CE_strategy.html", "View")</f>
        <v/>
      </c>
      <c r="N223" t="inlineStr"/>
      <c r="O223" t="inlineStr"/>
      <c r="P223" t="inlineStr">
        <is>
          <t>BULLISH</t>
        </is>
      </c>
      <c r="Q223" t="inlineStr">
        <is>
          <t>INCLUDED (HYBRID_v5_BULLISH_CE)</t>
        </is>
      </c>
      <c r="R223" t="n">
        <v>4.52</v>
      </c>
      <c r="S223" t="inlineStr">
        <is>
          <t>SuperTrend Stop Loss Exit</t>
        </is>
      </c>
      <c r="T223" t="n">
        <v>0.4897</v>
      </c>
      <c r="U223" t="n">
        <v>0.7488</v>
      </c>
      <c r="V223" t="inlineStr">
        <is>
          <t>2026-02-18</t>
        </is>
      </c>
      <c r="W223" t="inlineStr">
        <is>
          <t>Between R1 and S1</t>
        </is>
      </c>
      <c r="X223" t="n">
        <v>25666.88</v>
      </c>
      <c r="Y223" t="n">
        <v>25803.1</v>
      </c>
      <c r="Z223" t="n">
        <v>25609</v>
      </c>
      <c r="AA223" t="n">
        <v>25880.8</v>
      </c>
      <c r="AB223" t="n">
        <v>25492.6</v>
      </c>
      <c r="AC223" t="n">
        <v>25997.2</v>
      </c>
      <c r="AD223" t="n">
        <v>25414.9</v>
      </c>
    </row>
    <row r="224">
      <c r="A224">
        <f>HYPERLINK("../../data/FEB24_DYNAMIC/FEB18/OTM/NIFTY26FEB25700PE_strategy.csv", "NIFTY26FEB25700PE")</f>
        <v/>
      </c>
      <c r="B224" t="inlineStr">
        <is>
          <t>PE</t>
        </is>
      </c>
      <c r="C224" t="inlineStr">
        <is>
          <t>09:48:01</t>
        </is>
      </c>
      <c r="D224" t="inlineStr">
        <is>
          <t>10:12:00</t>
        </is>
      </c>
      <c r="E224" t="n">
        <v>118</v>
      </c>
      <c r="F224" t="n">
        <v>145.55</v>
      </c>
      <c r="G224" t="n">
        <v>100826.34</v>
      </c>
      <c r="H224" t="n">
        <v>100826.34</v>
      </c>
      <c r="I224" t="n">
        <v>70578.44</v>
      </c>
      <c r="J224" t="inlineStr">
        <is>
          <t>EXECUTED</t>
        </is>
      </c>
      <c r="K224" t="n">
        <v>35</v>
      </c>
      <c r="L224" t="n">
        <v>-11.65</v>
      </c>
      <c r="M224">
        <f>HYPERLINK("../../data/FEB24_DYNAMIC/FEB18/OTM/NIFTY26FEB25700PE_strategy.html", "View")</f>
        <v/>
      </c>
      <c r="N224" t="inlineStr"/>
      <c r="O224" t="inlineStr"/>
      <c r="P224" t="inlineStr">
        <is>
          <t>BEARISH</t>
        </is>
      </c>
      <c r="Q224" t="inlineStr">
        <is>
          <t>INCLUDED (HYBRID_v5_BEARISH_PE)</t>
        </is>
      </c>
      <c r="R224" t="n">
        <v>23.35</v>
      </c>
      <c r="S224" t="inlineStr">
        <is>
          <t>Dynamic Trailing MA (Fast/Slow MA)</t>
        </is>
      </c>
      <c r="T224" t="n">
        <v>0.5542</v>
      </c>
      <c r="U224" t="n">
        <v>0.8442</v>
      </c>
      <c r="V224" t="inlineStr">
        <is>
          <t>2026-02-18</t>
        </is>
      </c>
      <c r="W224" t="inlineStr">
        <is>
          <t>Between R1 and S1</t>
        </is>
      </c>
      <c r="X224" t="n">
        <v>25720.11</v>
      </c>
      <c r="Y224" t="n">
        <v>25803.1</v>
      </c>
      <c r="Z224" t="n">
        <v>25609</v>
      </c>
      <c r="AA224" t="n">
        <v>25880.8</v>
      </c>
      <c r="AB224" t="n">
        <v>25492.6</v>
      </c>
      <c r="AC224" t="n">
        <v>25997.2</v>
      </c>
      <c r="AD224" t="n">
        <v>25414.9</v>
      </c>
    </row>
    <row r="225">
      <c r="A225">
        <f>HYPERLINK("../../data/FEB24_DYNAMIC/FEB18/OTM/NIFTY26FEB25750CE_strategy.csv", "NIFTY26FEB25750CE")</f>
        <v/>
      </c>
      <c r="B225" t="inlineStr">
        <is>
          <t>CE</t>
        </is>
      </c>
      <c r="C225" t="inlineStr">
        <is>
          <t>09:37:01</t>
        </is>
      </c>
      <c r="D225" t="inlineStr">
        <is>
          <t>09:47:00</t>
        </is>
      </c>
      <c r="E225" t="n">
        <v>135.55</v>
      </c>
      <c r="F225" t="n">
        <v>126.74</v>
      </c>
      <c r="G225" t="n">
        <v>81740.03999999999</v>
      </c>
      <c r="H225" t="n">
        <v>100000</v>
      </c>
      <c r="I225" t="n">
        <v>70000</v>
      </c>
      <c r="J225" t="inlineStr">
        <is>
          <t>EXECUTED</t>
        </is>
      </c>
      <c r="K225" t="n">
        <v>3.28</v>
      </c>
      <c r="L225" t="n">
        <v>-10.29</v>
      </c>
      <c r="M225">
        <f>HYPERLINK("../../data/FEB24_DYNAMIC/FEB18/OTM/NIFTY26FEB25750CE_strategy.html", "View")</f>
        <v/>
      </c>
      <c r="N225" t="inlineStr"/>
      <c r="O225" t="inlineStr"/>
      <c r="P225" t="inlineStr">
        <is>
          <t>NEUTRAL</t>
        </is>
      </c>
      <c r="Q225" t="inlineStr">
        <is>
          <t>INCLUDED</t>
        </is>
      </c>
      <c r="R225" t="n">
        <v>-6.5</v>
      </c>
      <c r="S225" t="inlineStr">
        <is>
          <t>Fixed Stop Loss</t>
        </is>
      </c>
      <c r="T225" t="n">
        <v>0.6083</v>
      </c>
      <c r="U225" t="inlineStr"/>
      <c r="V225" t="inlineStr">
        <is>
          <t>2026-02-18</t>
        </is>
      </c>
      <c r="W225" t="inlineStr">
        <is>
          <t>Between R1 and S1</t>
        </is>
      </c>
      <c r="X225" t="n">
        <v>25741.05</v>
      </c>
      <c r="Y225" t="n">
        <v>25803.1</v>
      </c>
      <c r="Z225" t="n">
        <v>25609</v>
      </c>
      <c r="AA225" t="n">
        <v>25880.8</v>
      </c>
      <c r="AB225" t="n">
        <v>25492.6</v>
      </c>
      <c r="AC225" t="n">
        <v>25997.2</v>
      </c>
      <c r="AD225" t="n">
        <v>25414.9</v>
      </c>
    </row>
    <row r="226">
      <c r="A226">
        <f>HYPERLINK("../../data/FEB24_DYNAMIC/FEB18/OTM/NIFTY26FEB25750CE_strategy.csv", "NIFTY26FEB25750CE")</f>
        <v/>
      </c>
      <c r="B226" t="inlineStr">
        <is>
          <t>CE</t>
        </is>
      </c>
      <c r="C226" t="inlineStr">
        <is>
          <t>09:28:01</t>
        </is>
      </c>
      <c r="D226" t="inlineStr">
        <is>
          <t>09:31:00</t>
        </is>
      </c>
      <c r="E226" t="n">
        <v>134.25</v>
      </c>
      <c r="F226" t="n">
        <v>125.52</v>
      </c>
      <c r="G226" t="n">
        <v>87422.5</v>
      </c>
      <c r="H226" t="n">
        <v>100000</v>
      </c>
      <c r="I226" t="n">
        <v>70000</v>
      </c>
      <c r="J226" t="inlineStr">
        <is>
          <t>EXECUTED</t>
        </is>
      </c>
      <c r="K226" t="n">
        <v>0</v>
      </c>
      <c r="L226" t="n">
        <v>-11.32</v>
      </c>
      <c r="M226">
        <f>HYPERLINK("../../data/FEB24_DYNAMIC/FEB18/OTM/NIFTY26FEB25750CE_strategy.html", "View")</f>
        <v/>
      </c>
      <c r="N226" t="inlineStr"/>
      <c r="O226" t="inlineStr"/>
      <c r="P226" t="inlineStr">
        <is>
          <t>NEUTRAL</t>
        </is>
      </c>
      <c r="Q226" t="inlineStr">
        <is>
          <t>INCLUDED</t>
        </is>
      </c>
      <c r="R226" t="n">
        <v>-6.5</v>
      </c>
      <c r="S226" t="inlineStr">
        <is>
          <t>Fixed Stop Loss</t>
        </is>
      </c>
      <c r="T226" t="n">
        <v>0.4693</v>
      </c>
      <c r="U226" t="inlineStr"/>
      <c r="V226" t="inlineStr">
        <is>
          <t>2026-02-18</t>
        </is>
      </c>
      <c r="W226" t="inlineStr">
        <is>
          <t>Between R1 and S1</t>
        </is>
      </c>
      <c r="X226" t="n">
        <v>25729.34</v>
      </c>
      <c r="Y226" t="n">
        <v>25803.1</v>
      </c>
      <c r="Z226" t="n">
        <v>25609</v>
      </c>
      <c r="AA226" t="n">
        <v>25880.8</v>
      </c>
      <c r="AB226" t="n">
        <v>25492.6</v>
      </c>
      <c r="AC226" t="n">
        <v>25997.2</v>
      </c>
      <c r="AD226" t="n">
        <v>25414.9</v>
      </c>
    </row>
    <row r="227">
      <c r="A227">
        <f>HYPERLINK("../../data/FEB24_DYNAMIC/FEB18/OTM/NIFTY26FEB25700PE_strategy.csv", "NIFTY26FEB25700PE")</f>
        <v/>
      </c>
      <c r="B227" t="inlineStr">
        <is>
          <t>PE</t>
        </is>
      </c>
      <c r="C227" t="inlineStr">
        <is>
          <t>09:23:01</t>
        </is>
      </c>
      <c r="D227" t="inlineStr">
        <is>
          <t>09:27:00</t>
        </is>
      </c>
      <c r="E227" t="n">
        <v>122</v>
      </c>
      <c r="F227" t="n">
        <v>114.07</v>
      </c>
      <c r="G227" t="n">
        <v>93500</v>
      </c>
      <c r="H227" t="n">
        <v>100000</v>
      </c>
      <c r="I227" t="n">
        <v>70000</v>
      </c>
      <c r="J227" t="inlineStr">
        <is>
          <t>EXECUTED</t>
        </is>
      </c>
      <c r="K227" t="n">
        <v>6.48</v>
      </c>
      <c r="L227" t="n">
        <v>-9.26</v>
      </c>
      <c r="M227">
        <f>HYPERLINK("../../data/FEB24_DYNAMIC/FEB18/OTM/NIFTY26FEB25700PE_strategy.html", "View")</f>
        <v/>
      </c>
      <c r="N227" t="inlineStr"/>
      <c r="O227" t="inlineStr"/>
      <c r="P227" t="inlineStr">
        <is>
          <t>BEARISH</t>
        </is>
      </c>
      <c r="Q227" t="inlineStr">
        <is>
          <t>INCLUDED (HYBRID_v5_BEARISH_PE)</t>
        </is>
      </c>
      <c r="R227" t="n">
        <v>-6.5</v>
      </c>
      <c r="S227" t="inlineStr">
        <is>
          <t>Fixed SL Exit</t>
        </is>
      </c>
      <c r="T227" t="n">
        <v>0.2778</v>
      </c>
      <c r="U227" t="inlineStr"/>
      <c r="V227" t="inlineStr">
        <is>
          <t>2026-02-18</t>
        </is>
      </c>
      <c r="W227" t="inlineStr">
        <is>
          <t>Between R1 and S1</t>
        </is>
      </c>
      <c r="X227" t="n">
        <v>25717.4</v>
      </c>
      <c r="Y227" t="n">
        <v>25803.1</v>
      </c>
      <c r="Z227" t="n">
        <v>25609</v>
      </c>
      <c r="AA227" t="n">
        <v>25880.8</v>
      </c>
      <c r="AB227" t="n">
        <v>25492.6</v>
      </c>
      <c r="AC227" t="n">
        <v>25997.2</v>
      </c>
      <c r="AD227" t="n">
        <v>25414.9</v>
      </c>
    </row>
    <row r="228">
      <c r="A228">
        <f>HYPERLINK("../../data/FEB24_DYNAMIC/FEB19/OTM/NIFTY26FEB25700PE_strategy.csv", "NIFTY26FEB25700PE")</f>
        <v/>
      </c>
      <c r="B228" t="inlineStr">
        <is>
          <t>PE</t>
        </is>
      </c>
      <c r="C228" t="inlineStr">
        <is>
          <t>11:14:01</t>
        </is>
      </c>
      <c r="D228" t="inlineStr">
        <is>
          <t>11:36:00</t>
        </is>
      </c>
      <c r="E228" t="n">
        <v>113.75</v>
      </c>
      <c r="F228" t="n">
        <v>135.05</v>
      </c>
      <c r="G228" t="n">
        <v>119555.19</v>
      </c>
      <c r="H228" t="n">
        <v>119555.19</v>
      </c>
      <c r="I228" t="n">
        <v>83688.63</v>
      </c>
      <c r="J228" t="inlineStr">
        <is>
          <t>EXECUTED</t>
        </is>
      </c>
      <c r="K228" t="n">
        <v>28.31</v>
      </c>
      <c r="L228" t="n">
        <v>-8.970000000000001</v>
      </c>
      <c r="M228">
        <f>HYPERLINK("../../data/FEB24_DYNAMIC/FEB19/OTM/NIFTY26FEB25700PE_strategy.html", "View")</f>
        <v/>
      </c>
      <c r="N228" t="inlineStr"/>
      <c r="O228" t="inlineStr"/>
      <c r="P228" t="inlineStr">
        <is>
          <t>BEARISH</t>
        </is>
      </c>
      <c r="Q228" t="inlineStr">
        <is>
          <t>INCLUDED (HYBRID_v5_BEARISH_PE)</t>
        </is>
      </c>
      <c r="R228" t="n">
        <v>18.73</v>
      </c>
      <c r="S228" t="inlineStr">
        <is>
          <t>Dynamic Trailing MA (Fast/Slow MA)</t>
        </is>
      </c>
      <c r="T228" t="n">
        <v>0.5917</v>
      </c>
      <c r="U228" t="n">
        <v>0.6767</v>
      </c>
      <c r="V228" t="inlineStr">
        <is>
          <t>2026-02-19</t>
        </is>
      </c>
      <c r="W228" t="inlineStr">
        <is>
          <t>Between R1 and S1</t>
        </is>
      </c>
      <c r="X228" t="n">
        <v>25717.8</v>
      </c>
      <c r="Y228" t="n">
        <v>25883.22</v>
      </c>
      <c r="Z228" t="n">
        <v>25700.32</v>
      </c>
      <c r="AA228" t="n">
        <v>25947.08</v>
      </c>
      <c r="AB228" t="n">
        <v>25581.28</v>
      </c>
      <c r="AC228" t="n">
        <v>26066.12</v>
      </c>
      <c r="AD228" t="n">
        <v>25517.42</v>
      </c>
    </row>
    <row r="229">
      <c r="A229">
        <f>HYPERLINK("../../data/FEB24_DYNAMIC/FEB19/OTM/NIFTY26FEB25750CE_strategy.csv", "NIFTY26FEB25750CE")</f>
        <v/>
      </c>
      <c r="B229" t="inlineStr">
        <is>
          <t>CE</t>
        </is>
      </c>
      <c r="C229" t="inlineStr">
        <is>
          <t>10:44:01</t>
        </is>
      </c>
      <c r="D229" t="inlineStr">
        <is>
          <t>11:16:00</t>
        </is>
      </c>
      <c r="E229" t="n">
        <v>122.9</v>
      </c>
      <c r="F229" t="n">
        <v>114.91</v>
      </c>
      <c r="G229" t="n">
        <v>100695.01</v>
      </c>
      <c r="H229" t="n">
        <v>117060</v>
      </c>
      <c r="I229" t="n">
        <v>81942</v>
      </c>
      <c r="J229" t="inlineStr">
        <is>
          <t>EXECUTED</t>
        </is>
      </c>
      <c r="K229" t="n">
        <v>5.25</v>
      </c>
      <c r="L229" t="n">
        <v>-5.66</v>
      </c>
      <c r="M229">
        <f>HYPERLINK("../../data/FEB24_DYNAMIC/FEB19/OTM/NIFTY26FEB25750CE_strategy.html", "View")</f>
        <v/>
      </c>
      <c r="N229" t="inlineStr"/>
      <c r="O229" t="inlineStr"/>
      <c r="P229" t="inlineStr">
        <is>
          <t>NEUTRAL</t>
        </is>
      </c>
      <c r="Q229" t="inlineStr">
        <is>
          <t>INCLUDED</t>
        </is>
      </c>
      <c r="R229" t="n">
        <v>-6.5</v>
      </c>
      <c r="S229" t="inlineStr">
        <is>
          <t>Fixed Stop Loss</t>
        </is>
      </c>
      <c r="T229" t="n">
        <v>0.3159</v>
      </c>
      <c r="U229" t="inlineStr"/>
      <c r="V229" t="inlineStr">
        <is>
          <t>2026-02-19</t>
        </is>
      </c>
      <c r="W229" t="inlineStr">
        <is>
          <t>Between R1 and S1</t>
        </is>
      </c>
      <c r="X229" t="n">
        <v>25735.59</v>
      </c>
      <c r="Y229" t="n">
        <v>25883.22</v>
      </c>
      <c r="Z229" t="n">
        <v>25700.32</v>
      </c>
      <c r="AA229" t="n">
        <v>25947.08</v>
      </c>
      <c r="AB229" t="n">
        <v>25581.28</v>
      </c>
      <c r="AC229" t="n">
        <v>26066.12</v>
      </c>
      <c r="AD229" t="n">
        <v>25517.42</v>
      </c>
    </row>
    <row r="230">
      <c r="A230">
        <f>HYPERLINK("../../data/FEB24_DYNAMIC/FEB19/OTM/NIFTY26FEB25800CE_strategy.csv", "NIFTY26FEB25800CE")</f>
        <v/>
      </c>
      <c r="B230" t="inlineStr">
        <is>
          <t>CE</t>
        </is>
      </c>
      <c r="C230" t="inlineStr">
        <is>
          <t>10:05:01</t>
        </is>
      </c>
      <c r="D230" t="inlineStr">
        <is>
          <t>10:11:00</t>
        </is>
      </c>
      <c r="E230" t="n">
        <v>117.25</v>
      </c>
      <c r="F230" t="n">
        <v>107.87</v>
      </c>
      <c r="G230" t="n">
        <v>107695.2</v>
      </c>
      <c r="H230" t="n">
        <v>117060</v>
      </c>
      <c r="I230" t="n">
        <v>81942</v>
      </c>
      <c r="J230" t="inlineStr">
        <is>
          <t>EXECUTED</t>
        </is>
      </c>
      <c r="K230" t="n">
        <v>1.32</v>
      </c>
      <c r="L230" t="n">
        <v>-7.42</v>
      </c>
      <c r="M230">
        <f>HYPERLINK("../../data/FEB24_DYNAMIC/FEB19/OTM/NIFTY26FEB25800CE_strategy.html", "View")</f>
        <v/>
      </c>
      <c r="N230" t="inlineStr"/>
      <c r="O230" t="inlineStr"/>
      <c r="P230" t="inlineStr">
        <is>
          <t>NEUTRAL</t>
        </is>
      </c>
      <c r="Q230" t="inlineStr">
        <is>
          <t>INCLUDED</t>
        </is>
      </c>
      <c r="R230" t="n">
        <v>-8</v>
      </c>
      <c r="S230" t="inlineStr">
        <is>
          <t>Fixed Stop Loss</t>
        </is>
      </c>
      <c r="T230" t="n">
        <v>0.4195</v>
      </c>
      <c r="U230" t="inlineStr"/>
      <c r="V230" t="inlineStr">
        <is>
          <t>2026-02-19</t>
        </is>
      </c>
      <c r="W230" t="inlineStr">
        <is>
          <t>Between R1 and S1</t>
        </is>
      </c>
      <c r="X230" t="n">
        <v>25788.44</v>
      </c>
      <c r="Y230" t="n">
        <v>25883.22</v>
      </c>
      <c r="Z230" t="n">
        <v>25700.32</v>
      </c>
      <c r="AA230" t="n">
        <v>25947.08</v>
      </c>
      <c r="AB230" t="n">
        <v>25581.28</v>
      </c>
      <c r="AC230" t="n">
        <v>26066.12</v>
      </c>
      <c r="AD230" t="n">
        <v>25517.42</v>
      </c>
    </row>
    <row r="231">
      <c r="A231">
        <f>HYPERLINK("../../data/FEB24_DYNAMIC/FEB19/OTM/NIFTY26FEB25850PE_strategy.csv", "NIFTY26FEB25850PE")</f>
        <v/>
      </c>
      <c r="B231" t="inlineStr">
        <is>
          <t>PE</t>
        </is>
      </c>
      <c r="C231" t="inlineStr">
        <is>
          <t>09:25:01</t>
        </is>
      </c>
      <c r="D231" t="inlineStr">
        <is>
          <t>09:49:00</t>
        </is>
      </c>
      <c r="E231" t="n">
        <v>112.5</v>
      </c>
      <c r="F231" t="n">
        <v>131.69</v>
      </c>
      <c r="G231" t="n">
        <v>117060</v>
      </c>
      <c r="H231" t="n">
        <v>117060</v>
      </c>
      <c r="I231" t="n">
        <v>81942</v>
      </c>
      <c r="J231" t="inlineStr">
        <is>
          <t>EXECUTED</t>
        </is>
      </c>
      <c r="K231" t="n">
        <v>37.6</v>
      </c>
      <c r="L231" t="n">
        <v>-11.11</v>
      </c>
      <c r="M231">
        <f>HYPERLINK("../../data/FEB24_DYNAMIC/FEB19/OTM/NIFTY26FEB25850PE_strategy.html", "View")</f>
        <v/>
      </c>
      <c r="N231" t="inlineStr"/>
      <c r="O231" t="inlineStr"/>
      <c r="P231" t="inlineStr">
        <is>
          <t>BEARISH</t>
        </is>
      </c>
      <c r="Q231" t="inlineStr">
        <is>
          <t>INCLUDED (HYBRID_v5_BEARISH_PE)</t>
        </is>
      </c>
      <c r="R231" t="n">
        <v>17.06</v>
      </c>
      <c r="S231" t="inlineStr">
        <is>
          <t>SuperTrend Stop Loss Exit</t>
        </is>
      </c>
      <c r="T231" t="n">
        <v>0.2559</v>
      </c>
      <c r="U231" t="n">
        <v>0.303</v>
      </c>
      <c r="V231" t="inlineStr">
        <is>
          <t>2026-02-19</t>
        </is>
      </c>
      <c r="W231" t="inlineStr">
        <is>
          <t>Between R1 and S1</t>
        </is>
      </c>
      <c r="X231" t="n">
        <v>25846.18</v>
      </c>
      <c r="Y231" t="n">
        <v>25883.22</v>
      </c>
      <c r="Z231" t="n">
        <v>25700.32</v>
      </c>
      <c r="AA231" t="n">
        <v>25947.08</v>
      </c>
      <c r="AB231" t="n">
        <v>25581.28</v>
      </c>
      <c r="AC231" t="n">
        <v>26066.12</v>
      </c>
      <c r="AD231" t="n">
        <v>25517.42</v>
      </c>
    </row>
    <row r="232">
      <c r="A232">
        <f>HYPERLINK("../../data/FEB24_DYNAMIC/FEB20/OTM/NIFTY26FEB25600PE_strategy.csv", "NIFTY26FEB25600PE")</f>
        <v/>
      </c>
      <c r="B232" t="inlineStr">
        <is>
          <t>PE</t>
        </is>
      </c>
      <c r="C232" t="inlineStr">
        <is>
          <t>15:01:01</t>
        </is>
      </c>
      <c r="D232" t="inlineStr">
        <is>
          <t>15:14:00</t>
        </is>
      </c>
      <c r="E232" t="n">
        <v>107.5</v>
      </c>
      <c r="F232" t="n">
        <v>134.7</v>
      </c>
      <c r="G232" t="n">
        <v>144449.5</v>
      </c>
      <c r="H232" t="n">
        <v>144449.5</v>
      </c>
      <c r="I232" t="n">
        <v>101114.65</v>
      </c>
      <c r="J232" t="inlineStr">
        <is>
          <t>EXECUTED</t>
        </is>
      </c>
      <c r="K232" t="n">
        <v>29.49</v>
      </c>
      <c r="L232" t="n">
        <v>-9.44</v>
      </c>
      <c r="M232">
        <f>HYPERLINK("../../data/FEB24_DYNAMIC/FEB20/OTM/NIFTY26FEB25600PE_strategy.html", "View")</f>
        <v/>
      </c>
      <c r="N232" t="inlineStr"/>
      <c r="O232" t="inlineStr"/>
      <c r="P232" t="inlineStr">
        <is>
          <t>BEARISH</t>
        </is>
      </c>
      <c r="Q232" t="inlineStr">
        <is>
          <t>INCLUDED (HYBRID_v5_BEARISH_PE)</t>
        </is>
      </c>
      <c r="R232" t="n">
        <v>25.3</v>
      </c>
      <c r="S232" t="inlineStr">
        <is>
          <t>EOD Exit</t>
        </is>
      </c>
      <c r="T232" t="n">
        <v>0.5716</v>
      </c>
      <c r="U232" t="n">
        <v>0.7040999999999999</v>
      </c>
      <c r="V232" t="inlineStr">
        <is>
          <t>2026-02-20</t>
        </is>
      </c>
      <c r="W232" t="inlineStr">
        <is>
          <t>Between R1 and S1</t>
        </is>
      </c>
      <c r="X232" t="n">
        <v>25624.85</v>
      </c>
      <c r="Y232" t="n">
        <v>25763.52</v>
      </c>
      <c r="Z232" t="n">
        <v>25266.97</v>
      </c>
      <c r="AA232" t="n">
        <v>26072.68</v>
      </c>
      <c r="AB232" t="n">
        <v>25079.58</v>
      </c>
      <c r="AC232" t="n">
        <v>26260.07</v>
      </c>
      <c r="AD232" t="n">
        <v>24770.42</v>
      </c>
    </row>
    <row r="233">
      <c r="A233">
        <f>HYPERLINK("../../data/FEB24_DYNAMIC/FEB20/OTM/NIFTY26FEB25650CE_strategy.csv", "NIFTY26FEB25650CE")</f>
        <v/>
      </c>
      <c r="B233" t="inlineStr">
        <is>
          <t>CE</t>
        </is>
      </c>
      <c r="C233" t="inlineStr">
        <is>
          <t>14:36:01</t>
        </is>
      </c>
      <c r="D233" t="inlineStr">
        <is>
          <t>14:38:00</t>
        </is>
      </c>
      <c r="E233" t="n">
        <v>118.5</v>
      </c>
      <c r="F233" t="n">
        <v>109.02</v>
      </c>
      <c r="G233" t="n">
        <v>115282.92</v>
      </c>
      <c r="H233" t="n">
        <v>134018.74</v>
      </c>
      <c r="I233" t="n">
        <v>93813.12</v>
      </c>
      <c r="J233" t="inlineStr">
        <is>
          <t>EXECUTED</t>
        </is>
      </c>
      <c r="K233" t="n">
        <v>0</v>
      </c>
      <c r="L233" t="n">
        <v>-8.949999999999999</v>
      </c>
      <c r="M233">
        <f>HYPERLINK("../../data/FEB24_DYNAMIC/FEB20/OTM/NIFTY26FEB25650CE_strategy.html", "View")</f>
        <v/>
      </c>
      <c r="N233" t="inlineStr"/>
      <c r="O233" t="inlineStr"/>
      <c r="P233" t="inlineStr">
        <is>
          <t>BULLISH</t>
        </is>
      </c>
      <c r="Q233" t="inlineStr">
        <is>
          <t>INCLUDED (HYBRID_v5_BULLISH_CE)</t>
        </is>
      </c>
      <c r="R233" t="n">
        <v>-8</v>
      </c>
      <c r="S233" t="inlineStr">
        <is>
          <t>Fixed Stop Loss</t>
        </is>
      </c>
      <c r="T233" t="n">
        <v>0.4341</v>
      </c>
      <c r="U233" t="inlineStr"/>
      <c r="V233" t="inlineStr">
        <is>
          <t>2026-02-20</t>
        </is>
      </c>
      <c r="W233" t="inlineStr">
        <is>
          <t>Between R1 and S1</t>
        </is>
      </c>
      <c r="X233" t="n">
        <v>25612.26</v>
      </c>
      <c r="Y233" t="n">
        <v>25763.52</v>
      </c>
      <c r="Z233" t="n">
        <v>25266.97</v>
      </c>
      <c r="AA233" t="n">
        <v>26072.68</v>
      </c>
      <c r="AB233" t="n">
        <v>25079.58</v>
      </c>
      <c r="AC233" t="n">
        <v>26260.07</v>
      </c>
      <c r="AD233" t="n">
        <v>24770.42</v>
      </c>
    </row>
    <row r="234">
      <c r="A234">
        <f>HYPERLINK("../../data/FEB24_DYNAMIC/FEB20/OTM/NIFTY26FEB25550PE_strategy.csv", "NIFTY26FEB25550PE")</f>
        <v/>
      </c>
      <c r="B234" t="inlineStr">
        <is>
          <t>PE</t>
        </is>
      </c>
      <c r="C234" t="inlineStr">
        <is>
          <t>13:43:01</t>
        </is>
      </c>
      <c r="D234" t="inlineStr">
        <is>
          <t>13:44:00</t>
        </is>
      </c>
      <c r="E234" t="n">
        <v>120.65</v>
      </c>
      <c r="F234" t="n">
        <v>112.81</v>
      </c>
      <c r="G234" t="n">
        <v>125307.52</v>
      </c>
      <c r="H234" t="n">
        <v>134018.74</v>
      </c>
      <c r="I234" t="n">
        <v>93813.12</v>
      </c>
      <c r="J234" t="inlineStr">
        <is>
          <t>EXECUTED</t>
        </is>
      </c>
      <c r="K234" t="n">
        <v>0</v>
      </c>
      <c r="L234" t="n">
        <v>-7.87</v>
      </c>
      <c r="M234">
        <f>HYPERLINK("../../data/FEB24_DYNAMIC/FEB20/OTM/NIFTY26FEB25550PE_strategy.html", "View")</f>
        <v/>
      </c>
      <c r="N234" t="inlineStr"/>
      <c r="O234" t="inlineStr"/>
      <c r="P234" t="inlineStr">
        <is>
          <t>NEUTRAL</t>
        </is>
      </c>
      <c r="Q234" t="inlineStr">
        <is>
          <t>INCLUDED</t>
        </is>
      </c>
      <c r="R234" t="n">
        <v>-6.5</v>
      </c>
      <c r="S234" t="inlineStr">
        <is>
          <t>Fixed Stop Loss</t>
        </is>
      </c>
      <c r="T234" t="n">
        <v>0.4265</v>
      </c>
      <c r="U234" t="inlineStr"/>
      <c r="V234" t="inlineStr">
        <is>
          <t>2026-02-20</t>
        </is>
      </c>
      <c r="W234" t="inlineStr">
        <is>
          <t>Between R1 and S1</t>
        </is>
      </c>
      <c r="X234" t="n">
        <v>25570.53</v>
      </c>
      <c r="Y234" t="n">
        <v>25763.52</v>
      </c>
      <c r="Z234" t="n">
        <v>25266.97</v>
      </c>
      <c r="AA234" t="n">
        <v>26072.68</v>
      </c>
      <c r="AB234" t="n">
        <v>25079.58</v>
      </c>
      <c r="AC234" t="n">
        <v>26260.07</v>
      </c>
      <c r="AD234" t="n">
        <v>24770.42</v>
      </c>
    </row>
    <row r="235">
      <c r="A235">
        <f>HYPERLINK("../../data/FEB24_DYNAMIC/FEB20/OTM/NIFTY26FEB25550CE_strategy.csv", "NIFTY26FEB25550CE")</f>
        <v/>
      </c>
      <c r="B235" t="inlineStr">
        <is>
          <t>CE</t>
        </is>
      </c>
      <c r="C235" t="inlineStr">
        <is>
          <t>13:25:01</t>
        </is>
      </c>
      <c r="D235" t="inlineStr">
        <is>
          <t>13:42:00</t>
        </is>
      </c>
      <c r="E235" t="n">
        <v>143.7</v>
      </c>
      <c r="F235" t="n">
        <v>146.32</v>
      </c>
      <c r="G235" t="n">
        <v>134018.74</v>
      </c>
      <c r="H235" t="n">
        <v>134018.74</v>
      </c>
      <c r="I235" t="n">
        <v>93813.12</v>
      </c>
      <c r="J235" t="inlineStr">
        <is>
          <t>EXECUTED</t>
        </is>
      </c>
      <c r="K235" t="n">
        <v>19.42</v>
      </c>
      <c r="L235" t="n">
        <v>-7.52</v>
      </c>
      <c r="M235">
        <f>HYPERLINK("../../data/FEB24_DYNAMIC/FEB20/OTM/NIFTY26FEB25550CE_strategy.html", "View")</f>
        <v/>
      </c>
      <c r="N235" t="inlineStr"/>
      <c r="O235" t="inlineStr"/>
      <c r="P235" t="inlineStr">
        <is>
          <t>NEUTRAL</t>
        </is>
      </c>
      <c r="Q235" t="inlineStr">
        <is>
          <t>INCLUDED</t>
        </is>
      </c>
      <c r="R235" t="n">
        <v>1.82</v>
      </c>
      <c r="S235" t="inlineStr">
        <is>
          <t>SuperTrend Stop Loss Exit</t>
        </is>
      </c>
      <c r="T235" t="n">
        <v>0.5589</v>
      </c>
      <c r="U235" t="n">
        <v>0.7197</v>
      </c>
      <c r="V235" t="inlineStr">
        <is>
          <t>2026-02-20</t>
        </is>
      </c>
      <c r="W235" t="inlineStr">
        <is>
          <t>Between R1 and S1</t>
        </is>
      </c>
      <c r="X235" t="n">
        <v>25547.85</v>
      </c>
      <c r="Y235" t="n">
        <v>25763.52</v>
      </c>
      <c r="Z235" t="n">
        <v>25266.97</v>
      </c>
      <c r="AA235" t="n">
        <v>26072.68</v>
      </c>
      <c r="AB235" t="n">
        <v>25079.58</v>
      </c>
      <c r="AC235" t="n">
        <v>26260.07</v>
      </c>
      <c r="AD235" t="n">
        <v>24770.42</v>
      </c>
    </row>
    <row r="236">
      <c r="A236">
        <f>HYPERLINK("../../data/FEB24_DYNAMIC/FEB20/OTM/NIFTY26FEB25600CE_strategy.csv", "NIFTY26FEB25600CE")</f>
        <v/>
      </c>
      <c r="B236" t="inlineStr">
        <is>
          <t>CE</t>
        </is>
      </c>
      <c r="C236" t="inlineStr">
        <is>
          <t>12:14:01</t>
        </is>
      </c>
      <c r="D236" t="inlineStr">
        <is>
          <t>12:38:00</t>
        </is>
      </c>
      <c r="E236" t="n">
        <v>139.2</v>
      </c>
      <c r="F236" t="n">
        <v>167.1</v>
      </c>
      <c r="G236" t="n">
        <v>131623.2</v>
      </c>
      <c r="H236" t="n">
        <v>131623.2</v>
      </c>
      <c r="I236" t="n">
        <v>92136.24000000001</v>
      </c>
      <c r="J236" t="inlineStr">
        <is>
          <t>EXECUTED</t>
        </is>
      </c>
      <c r="K236" t="n">
        <v>32.79</v>
      </c>
      <c r="L236" t="n">
        <v>-5.78</v>
      </c>
      <c r="M236">
        <f>HYPERLINK("../../data/FEB24_DYNAMIC/FEB20/OTM/NIFTY26FEB25600CE_strategy.html", "View")</f>
        <v/>
      </c>
      <c r="N236" t="inlineStr"/>
      <c r="O236" t="inlineStr"/>
      <c r="P236" t="inlineStr">
        <is>
          <t>BULLISH</t>
        </is>
      </c>
      <c r="Q236" t="inlineStr">
        <is>
          <t>INCLUDED (HYBRID_v5_BULLISH_CE)</t>
        </is>
      </c>
      <c r="R236" t="n">
        <v>20.04</v>
      </c>
      <c r="S236" t="inlineStr">
        <is>
          <t>Dynamic Trailing MA (Fast/Slow MA)</t>
        </is>
      </c>
      <c r="T236" t="n">
        <v>0.4427</v>
      </c>
      <c r="U236" t="n">
        <v>0.6625</v>
      </c>
      <c r="V236" t="inlineStr">
        <is>
          <t>2026-02-20</t>
        </is>
      </c>
      <c r="W236" t="inlineStr">
        <is>
          <t>Between R1 and S1</t>
        </is>
      </c>
      <c r="X236" t="n">
        <v>25601.11</v>
      </c>
      <c r="Y236" t="n">
        <v>25763.52</v>
      </c>
      <c r="Z236" t="n">
        <v>25266.97</v>
      </c>
      <c r="AA236" t="n">
        <v>26072.68</v>
      </c>
      <c r="AB236" t="n">
        <v>25079.58</v>
      </c>
      <c r="AC236" t="n">
        <v>26260.07</v>
      </c>
      <c r="AD236" t="n">
        <v>24770.42</v>
      </c>
    </row>
    <row r="237">
      <c r="A237">
        <f>HYPERLINK("../../data/FEB24_DYNAMIC/FEB20/OTM/NIFTY26FEB25600CE_strategy.csv", "NIFTY26FEB25600CE")</f>
        <v/>
      </c>
      <c r="B237" t="inlineStr">
        <is>
          <t>CE</t>
        </is>
      </c>
      <c r="C237" t="inlineStr">
        <is>
          <t>11:27:01</t>
        </is>
      </c>
      <c r="D237" t="inlineStr">
        <is>
          <t>11:43:00</t>
        </is>
      </c>
      <c r="E237" t="n">
        <v>134.45</v>
      </c>
      <c r="F237" t="n">
        <v>144.55</v>
      </c>
      <c r="G237" t="n">
        <v>109649.45</v>
      </c>
      <c r="H237" t="n">
        <v>109649.45</v>
      </c>
      <c r="I237" t="n">
        <v>76754.61</v>
      </c>
      <c r="J237" t="inlineStr">
        <is>
          <t>EXECUTED</t>
        </is>
      </c>
      <c r="K237" t="n">
        <v>11.23</v>
      </c>
      <c r="L237" t="n">
        <v>-7.18</v>
      </c>
      <c r="M237">
        <f>HYPERLINK("../../data/FEB24_DYNAMIC/FEB20/OTM/NIFTY26FEB25600CE_strategy.html", "View")</f>
        <v/>
      </c>
      <c r="N237" t="inlineStr"/>
      <c r="O237" t="inlineStr"/>
      <c r="P237" t="inlineStr">
        <is>
          <t>BULLISH</t>
        </is>
      </c>
      <c r="Q237" t="inlineStr">
        <is>
          <t>INCLUDED (HYBRID_v5_BULLISH_CE)</t>
        </is>
      </c>
      <c r="R237" t="n">
        <v>7.51</v>
      </c>
      <c r="S237" t="inlineStr">
        <is>
          <t>Dynamic Trailing MA (Fast/Slow MA)</t>
        </is>
      </c>
      <c r="T237" t="n">
        <v>0.533</v>
      </c>
      <c r="U237" t="n">
        <v>0.6533</v>
      </c>
      <c r="V237" t="inlineStr">
        <is>
          <t>2026-02-20</t>
        </is>
      </c>
      <c r="W237" t="inlineStr">
        <is>
          <t>Between R1 and S1</t>
        </is>
      </c>
      <c r="X237" t="n">
        <v>25579.54</v>
      </c>
      <c r="Y237" t="n">
        <v>25763.52</v>
      </c>
      <c r="Z237" t="n">
        <v>25266.97</v>
      </c>
      <c r="AA237" t="n">
        <v>26072.68</v>
      </c>
      <c r="AB237" t="n">
        <v>25079.58</v>
      </c>
      <c r="AC237" t="n">
        <v>26260.07</v>
      </c>
      <c r="AD237" t="n">
        <v>24770.42</v>
      </c>
    </row>
    <row r="238">
      <c r="A238">
        <f>HYPERLINK("../../data/FEB24_DYNAMIC/FEB20/OTM/NIFTY26FEB25500PE_strategy.csv", "NIFTY26FEB25500PE")</f>
        <v/>
      </c>
      <c r="B238" t="inlineStr">
        <is>
          <t>PE</t>
        </is>
      </c>
      <c r="C238" t="inlineStr">
        <is>
          <t>10:02:01</t>
        </is>
      </c>
      <c r="D238" t="inlineStr">
        <is>
          <t>10:16:00</t>
        </is>
      </c>
      <c r="E238" t="n">
        <v>119.35</v>
      </c>
      <c r="F238" t="n">
        <v>121.72</v>
      </c>
      <c r="G238" t="n">
        <v>101990</v>
      </c>
      <c r="H238" t="n">
        <v>101990</v>
      </c>
      <c r="I238" t="n">
        <v>71393</v>
      </c>
      <c r="J238" t="inlineStr">
        <is>
          <t>EXECUTED</t>
        </is>
      </c>
      <c r="K238" t="n">
        <v>21.49</v>
      </c>
      <c r="L238" t="n">
        <v>-7.42</v>
      </c>
      <c r="M238">
        <f>HYPERLINK("../../data/FEB24_DYNAMIC/FEB20/OTM/NIFTY26FEB25500PE_strategy.html", "View")</f>
        <v/>
      </c>
      <c r="N238" t="inlineStr"/>
      <c r="O238" t="inlineStr"/>
      <c r="P238" t="inlineStr">
        <is>
          <t>BEARISH</t>
        </is>
      </c>
      <c r="Q238" t="inlineStr">
        <is>
          <t>INCLUDED (HYBRID_v5_BEARISH_PE)</t>
        </is>
      </c>
      <c r="R238" t="n">
        <v>1.99</v>
      </c>
      <c r="S238" t="inlineStr">
        <is>
          <t>SuperTrend Stop Loss Exit</t>
        </is>
      </c>
      <c r="T238" t="n">
        <v>0.4756</v>
      </c>
      <c r="U238" t="n">
        <v>0.6168</v>
      </c>
      <c r="V238" t="inlineStr">
        <is>
          <t>2026-02-20</t>
        </is>
      </c>
      <c r="W238" t="inlineStr">
        <is>
          <t>Between R1 and S1</t>
        </is>
      </c>
      <c r="X238" t="n">
        <v>25507.81</v>
      </c>
      <c r="Y238" t="n">
        <v>25763.52</v>
      </c>
      <c r="Z238" t="n">
        <v>25266.97</v>
      </c>
      <c r="AA238" t="n">
        <v>26072.68</v>
      </c>
      <c r="AB238" t="n">
        <v>25079.58</v>
      </c>
      <c r="AC238" t="n">
        <v>26260.07</v>
      </c>
      <c r="AD238" t="n">
        <v>24770.42</v>
      </c>
    </row>
    <row r="239">
      <c r="A239">
        <f>HYPERLINK("../../data/FEB24_DYNAMIC/FEB23/OTM/NIFTY26FEB25700PE_strategy.csv", "NIFTY26FEB25700PE")</f>
        <v/>
      </c>
      <c r="B239" t="inlineStr">
        <is>
          <t>PE</t>
        </is>
      </c>
      <c r="C239" t="inlineStr">
        <is>
          <t>15:09:01</t>
        </is>
      </c>
      <c r="D239" t="inlineStr">
        <is>
          <t>15:14:00</t>
        </is>
      </c>
      <c r="E239" t="n">
        <v>84.25</v>
      </c>
      <c r="F239" t="n">
        <v>83.84999999999999</v>
      </c>
      <c r="G239" t="n">
        <v>72890.03</v>
      </c>
      <c r="H239" t="n">
        <v>100000</v>
      </c>
      <c r="I239" t="n">
        <v>70000</v>
      </c>
      <c r="J239" t="inlineStr">
        <is>
          <t>EXECUTED</t>
        </is>
      </c>
      <c r="K239" t="n">
        <v>3.15</v>
      </c>
      <c r="L239" t="n">
        <v>-15.07</v>
      </c>
      <c r="M239">
        <f>HYPERLINK("../../data/FEB24_DYNAMIC/FEB23/OTM/NIFTY26FEB25700PE_strategy.html", "View")</f>
        <v/>
      </c>
      <c r="N239" t="inlineStr"/>
      <c r="O239" t="inlineStr"/>
      <c r="P239" t="inlineStr">
        <is>
          <t>BULLISH</t>
        </is>
      </c>
      <c r="Q239" t="inlineStr">
        <is>
          <t>INCLUDED (HYBRID_NEUTRAL_ZONE)</t>
        </is>
      </c>
      <c r="R239" t="n">
        <v>-0.47</v>
      </c>
      <c r="S239" t="inlineStr">
        <is>
          <t>EOD Exit</t>
        </is>
      </c>
      <c r="T239" t="n">
        <v>0.3826</v>
      </c>
      <c r="U239" t="inlineStr"/>
      <c r="V239" t="inlineStr">
        <is>
          <t>2026-02-23</t>
        </is>
      </c>
      <c r="W239" t="inlineStr">
        <is>
          <t>Between R1 and S1</t>
        </is>
      </c>
      <c r="X239" t="n">
        <v>25711.83</v>
      </c>
      <c r="Y239" t="n">
        <v>25763.52</v>
      </c>
      <c r="Z239" t="n">
        <v>25266.97</v>
      </c>
      <c r="AA239" t="n">
        <v>26072.68</v>
      </c>
      <c r="AB239" t="n">
        <v>25079.58</v>
      </c>
      <c r="AC239" t="n">
        <v>26260.07</v>
      </c>
      <c r="AD239" t="n">
        <v>24770.42</v>
      </c>
    </row>
    <row r="240">
      <c r="A240">
        <f>HYPERLINK("../../data/FEB24_DYNAMIC/FEB23/OTM/NIFTY26FEB25650PE_strategy.csv", "NIFTY26FEB25650PE")</f>
        <v/>
      </c>
      <c r="B240" t="inlineStr">
        <is>
          <t>PE</t>
        </is>
      </c>
      <c r="C240" t="inlineStr">
        <is>
          <t>14:53:01</t>
        </is>
      </c>
      <c r="D240" t="inlineStr">
        <is>
          <t>15:00:00</t>
        </is>
      </c>
      <c r="E240" t="n">
        <v>74.59999999999999</v>
      </c>
      <c r="F240" t="n">
        <v>68.63</v>
      </c>
      <c r="G240" t="n">
        <v>73234.23</v>
      </c>
      <c r="H240" t="n">
        <v>100000</v>
      </c>
      <c r="I240" t="n">
        <v>70000</v>
      </c>
      <c r="J240" t="inlineStr">
        <is>
          <t>EXECUTED</t>
        </is>
      </c>
      <c r="K240" t="n">
        <v>6.9</v>
      </c>
      <c r="L240" t="n">
        <v>-12.6</v>
      </c>
      <c r="M240">
        <f>HYPERLINK("../../data/FEB24_DYNAMIC/FEB23/OTM/NIFTY26FEB25650PE_strategy.html", "View")</f>
        <v/>
      </c>
      <c r="N240" t="inlineStr"/>
      <c r="O240" t="inlineStr"/>
      <c r="P240" t="inlineStr">
        <is>
          <t>NEUTRAL</t>
        </is>
      </c>
      <c r="Q240" t="inlineStr">
        <is>
          <t>INCLUDED</t>
        </is>
      </c>
      <c r="R240" t="n">
        <v>-8</v>
      </c>
      <c r="S240" t="inlineStr">
        <is>
          <t>Fixed SL Exit</t>
        </is>
      </c>
      <c r="T240" t="n">
        <v>0.728</v>
      </c>
      <c r="U240" t="inlineStr"/>
      <c r="V240" t="inlineStr">
        <is>
          <t>2026-02-23</t>
        </is>
      </c>
      <c r="W240" t="inlineStr">
        <is>
          <t>Between R1 and S1</t>
        </is>
      </c>
      <c r="X240" t="n">
        <v>25677.14</v>
      </c>
      <c r="Y240" t="n">
        <v>25763.52</v>
      </c>
      <c r="Z240" t="n">
        <v>25266.97</v>
      </c>
      <c r="AA240" t="n">
        <v>26072.68</v>
      </c>
      <c r="AB240" t="n">
        <v>25079.58</v>
      </c>
      <c r="AC240" t="n">
        <v>26260.07</v>
      </c>
      <c r="AD240" t="n">
        <v>24770.42</v>
      </c>
    </row>
    <row r="241">
      <c r="A241">
        <f>HYPERLINK("../../data/FEB24_DYNAMIC/FEB23/OTM/NIFTY26FEB25650PE_strategy.csv", "NIFTY26FEB25650PE")</f>
        <v/>
      </c>
      <c r="B241" t="inlineStr">
        <is>
          <t>PE</t>
        </is>
      </c>
      <c r="C241" t="inlineStr">
        <is>
          <t>14:45:01</t>
        </is>
      </c>
      <c r="D241" t="inlineStr">
        <is>
          <t>14:46:00</t>
        </is>
      </c>
      <c r="E241" t="n">
        <v>76.59999999999999</v>
      </c>
      <c r="F241" t="n">
        <v>70.47</v>
      </c>
      <c r="G241" t="n">
        <v>79602.42999999999</v>
      </c>
      <c r="H241" t="n">
        <v>100000</v>
      </c>
      <c r="I241" t="n">
        <v>70000</v>
      </c>
      <c r="J241" t="inlineStr">
        <is>
          <t>EXECUTED</t>
        </is>
      </c>
      <c r="K241" t="n">
        <v>0</v>
      </c>
      <c r="L241" t="n">
        <v>-11.68</v>
      </c>
      <c r="M241">
        <f>HYPERLINK("../../data/FEB24_DYNAMIC/FEB23/OTM/NIFTY26FEB25650PE_strategy.html", "View")</f>
        <v/>
      </c>
      <c r="N241" t="inlineStr"/>
      <c r="O241" t="inlineStr"/>
      <c r="P241" t="inlineStr">
        <is>
          <t>BEARISH</t>
        </is>
      </c>
      <c r="Q241" t="inlineStr">
        <is>
          <t>INCLUDED (HYBRID_v5_BEARISH_PE)</t>
        </is>
      </c>
      <c r="R241" t="n">
        <v>-8</v>
      </c>
      <c r="S241" t="inlineStr">
        <is>
          <t>Fixed Stop Loss</t>
        </is>
      </c>
      <c r="T241" t="n">
        <v>0.7632</v>
      </c>
      <c r="U241" t="inlineStr"/>
      <c r="V241" t="inlineStr">
        <is>
          <t>2026-02-23</t>
        </is>
      </c>
      <c r="W241" t="inlineStr">
        <is>
          <t>Between R1 and S1</t>
        </is>
      </c>
      <c r="X241" t="n">
        <v>25672.12</v>
      </c>
      <c r="Y241" t="n">
        <v>25763.52</v>
      </c>
      <c r="Z241" t="n">
        <v>25266.97</v>
      </c>
      <c r="AA241" t="n">
        <v>26072.68</v>
      </c>
      <c r="AB241" t="n">
        <v>25079.58</v>
      </c>
      <c r="AC241" t="n">
        <v>26260.07</v>
      </c>
      <c r="AD241" t="n">
        <v>24770.42</v>
      </c>
    </row>
    <row r="242">
      <c r="A242">
        <f>HYPERLINK("../../data/FEB24_DYNAMIC/FEB23/OTM/NIFTY26FEB25650CE_strategy.csv", "NIFTY26FEB25650CE")</f>
        <v/>
      </c>
      <c r="B242" t="inlineStr">
        <is>
          <t>CE</t>
        </is>
      </c>
      <c r="C242" t="inlineStr">
        <is>
          <t>14:16:01</t>
        </is>
      </c>
      <c r="D242" t="inlineStr">
        <is>
          <t>14:19:00</t>
        </is>
      </c>
      <c r="E242" t="n">
        <v>79.05</v>
      </c>
      <c r="F242" t="n">
        <v>83.8</v>
      </c>
      <c r="G242" t="n">
        <v>86524.38</v>
      </c>
      <c r="H242" t="n">
        <v>100000</v>
      </c>
      <c r="I242" t="n">
        <v>70000</v>
      </c>
      <c r="J242" t="inlineStr">
        <is>
          <t>EXECUTED</t>
        </is>
      </c>
      <c r="K242" t="n">
        <v>7.59</v>
      </c>
      <c r="L242" t="n">
        <v>-11.51</v>
      </c>
      <c r="M242">
        <f>HYPERLINK("../../data/FEB24_DYNAMIC/FEB23/OTM/NIFTY26FEB25650CE_strategy.html", "View")</f>
        <v/>
      </c>
      <c r="N242" t="inlineStr"/>
      <c r="O242" t="inlineStr"/>
      <c r="P242" t="inlineStr">
        <is>
          <t>BULLISH</t>
        </is>
      </c>
      <c r="Q242" t="inlineStr">
        <is>
          <t>INCLUDED (HYBRID_v5_BULLISH_CE)</t>
        </is>
      </c>
      <c r="R242" t="n">
        <v>6.01</v>
      </c>
      <c r="S242" t="inlineStr">
        <is>
          <t>Dynamic Trailing MA (Fast/Slow MA)</t>
        </is>
      </c>
      <c r="T242" t="n">
        <v>0.4677</v>
      </c>
      <c r="U242" t="n">
        <v>0.6748</v>
      </c>
      <c r="V242" t="inlineStr">
        <is>
          <t>2026-02-23</t>
        </is>
      </c>
      <c r="W242" t="inlineStr">
        <is>
          <t>Between R1 and S1</t>
        </is>
      </c>
      <c r="X242" t="n">
        <v>25630.05</v>
      </c>
      <c r="Y242" t="n">
        <v>25763.52</v>
      </c>
      <c r="Z242" t="n">
        <v>25266.97</v>
      </c>
      <c r="AA242" t="n">
        <v>26072.68</v>
      </c>
      <c r="AB242" t="n">
        <v>25079.58</v>
      </c>
      <c r="AC242" t="n">
        <v>26260.07</v>
      </c>
      <c r="AD242" t="n">
        <v>24770.42</v>
      </c>
    </row>
    <row r="243">
      <c r="A243">
        <f>HYPERLINK("../../data/FEB24_DYNAMIC/FEB23/OTM/NIFTY26FEB25650PE_strategy.csv", "NIFTY26FEB25650PE")</f>
        <v/>
      </c>
      <c r="B243" t="inlineStr">
        <is>
          <t>PE</t>
        </is>
      </c>
      <c r="C243" t="inlineStr">
        <is>
          <t>13:55:01</t>
        </is>
      </c>
      <c r="D243" t="inlineStr">
        <is>
          <t>14:07:00</t>
        </is>
      </c>
      <c r="E243" t="n">
        <v>87.45</v>
      </c>
      <c r="F243" t="n">
        <v>94.84</v>
      </c>
      <c r="G243" t="n">
        <v>81619.07000000001</v>
      </c>
      <c r="H243" t="n">
        <v>100000</v>
      </c>
      <c r="I243" t="n">
        <v>70000</v>
      </c>
      <c r="J243" t="inlineStr">
        <is>
          <t>EXECUTED</t>
        </is>
      </c>
      <c r="K243" t="n">
        <v>36.08</v>
      </c>
      <c r="L243" t="n">
        <v>-5.66</v>
      </c>
      <c r="M243">
        <f>HYPERLINK("../../data/FEB24_DYNAMIC/FEB23/OTM/NIFTY26FEB25650PE_strategy.html", "View")</f>
        <v/>
      </c>
      <c r="N243" t="inlineStr"/>
      <c r="O243" t="inlineStr"/>
      <c r="P243" t="inlineStr">
        <is>
          <t>BEARISH</t>
        </is>
      </c>
      <c r="Q243" t="inlineStr">
        <is>
          <t>INCLUDED (HYBRID_v5_BEARISH_PE)</t>
        </is>
      </c>
      <c r="R243" t="n">
        <v>8.449999999999999</v>
      </c>
      <c r="S243" t="inlineStr">
        <is>
          <t>SuperTrend Stop Loss Exit</t>
        </is>
      </c>
      <c r="T243" t="n">
        <v>0.4304</v>
      </c>
      <c r="U243" t="n">
        <v>0.762</v>
      </c>
      <c r="V243" t="inlineStr">
        <is>
          <t>2026-02-23</t>
        </is>
      </c>
      <c r="W243" t="inlineStr">
        <is>
          <t>Between R1 and S1</t>
        </is>
      </c>
      <c r="X243" t="n">
        <v>25651.3</v>
      </c>
      <c r="Y243" t="n">
        <v>25763.52</v>
      </c>
      <c r="Z243" t="n">
        <v>25266.97</v>
      </c>
      <c r="AA243" t="n">
        <v>26072.68</v>
      </c>
      <c r="AB243" t="n">
        <v>25079.58</v>
      </c>
      <c r="AC243" t="n">
        <v>26260.07</v>
      </c>
      <c r="AD243" t="n">
        <v>24770.42</v>
      </c>
    </row>
    <row r="244">
      <c r="A244">
        <f>HYPERLINK("../../data/FEB24_DYNAMIC/FEB23/OTM/NIFTY26FEB25650PE_strategy.csv", "NIFTY26FEB25650PE")</f>
        <v/>
      </c>
      <c r="B244" t="inlineStr">
        <is>
          <t>PE</t>
        </is>
      </c>
      <c r="C244" t="inlineStr">
        <is>
          <t>13:34:01</t>
        </is>
      </c>
      <c r="D244" t="inlineStr">
        <is>
          <t>13:42:00</t>
        </is>
      </c>
      <c r="E244" t="n">
        <v>92.55</v>
      </c>
      <c r="F244" t="n">
        <v>85.15000000000001</v>
      </c>
      <c r="G244" t="n">
        <v>75259.63</v>
      </c>
      <c r="H244" t="n">
        <v>100000</v>
      </c>
      <c r="I244" t="n">
        <v>70000</v>
      </c>
      <c r="J244" t="inlineStr">
        <is>
          <t>EXECUTED</t>
        </is>
      </c>
      <c r="K244" t="n">
        <v>2.86</v>
      </c>
      <c r="L244" t="n">
        <v>-13.83</v>
      </c>
      <c r="M244">
        <f>HYPERLINK("../../data/FEB24_DYNAMIC/FEB23/OTM/NIFTY26FEB25650PE_strategy.html", "View")</f>
        <v/>
      </c>
      <c r="N244" t="inlineStr"/>
      <c r="O244" t="inlineStr"/>
      <c r="P244" t="inlineStr">
        <is>
          <t>BEARISH</t>
        </is>
      </c>
      <c r="Q244" t="inlineStr">
        <is>
          <t>INCLUDED (HYBRID_v5_BEARISH_PE)</t>
        </is>
      </c>
      <c r="R244" t="n">
        <v>-8</v>
      </c>
      <c r="S244" t="inlineStr">
        <is>
          <t>Fixed Stop Loss</t>
        </is>
      </c>
      <c r="T244" t="n">
        <v>0.4561</v>
      </c>
      <c r="U244" t="inlineStr"/>
      <c r="V244" t="inlineStr">
        <is>
          <t>2026-02-23</t>
        </is>
      </c>
      <c r="W244" t="inlineStr">
        <is>
          <t>Between R1 and S1</t>
        </is>
      </c>
      <c r="X244" t="n">
        <v>25650.47</v>
      </c>
      <c r="Y244" t="n">
        <v>25763.52</v>
      </c>
      <c r="Z244" t="n">
        <v>25266.97</v>
      </c>
      <c r="AA244" t="n">
        <v>26072.68</v>
      </c>
      <c r="AB244" t="n">
        <v>25079.58</v>
      </c>
      <c r="AC244" t="n">
        <v>26260.07</v>
      </c>
      <c r="AD244" t="n">
        <v>24770.42</v>
      </c>
    </row>
    <row r="245">
      <c r="A245">
        <f>HYPERLINK("../../data/FEB24_DYNAMIC/FEB23/OTM/NIFTY26FEB25650CE_strategy.csv", "NIFTY26FEB25650CE")</f>
        <v/>
      </c>
      <c r="B245" t="inlineStr">
        <is>
          <t>CE</t>
        </is>
      </c>
      <c r="C245" t="inlineStr">
        <is>
          <t>13:18:01</t>
        </is>
      </c>
      <c r="D245" t="inlineStr">
        <is>
          <t>13:40:00</t>
        </is>
      </c>
      <c r="E245" t="n">
        <v>90</v>
      </c>
      <c r="F245" t="n">
        <v>87.05</v>
      </c>
      <c r="G245" t="n">
        <v>81803.95</v>
      </c>
      <c r="H245" t="n">
        <v>100000</v>
      </c>
      <c r="I245" t="n">
        <v>70000</v>
      </c>
      <c r="J245" t="inlineStr">
        <is>
          <t>EXECUTED</t>
        </is>
      </c>
      <c r="K245" t="n">
        <v>16.39</v>
      </c>
      <c r="L245" t="n">
        <v>-10.67</v>
      </c>
      <c r="M245">
        <f>HYPERLINK("../../data/FEB24_DYNAMIC/FEB23/OTM/NIFTY26FEB25650CE_strategy.html", "View")</f>
        <v/>
      </c>
      <c r="N245" t="inlineStr"/>
      <c r="O245" t="inlineStr"/>
      <c r="P245" t="inlineStr">
        <is>
          <t>BULLISH</t>
        </is>
      </c>
      <c r="Q245" t="inlineStr">
        <is>
          <t>INCLUDED (HYBRID_v5_BULLISH_CE)</t>
        </is>
      </c>
      <c r="R245" t="n">
        <v>-3.28</v>
      </c>
      <c r="S245" t="inlineStr">
        <is>
          <t>SuperTrend Stop Loss Exit</t>
        </is>
      </c>
      <c r="T245" t="n">
        <v>0.5841</v>
      </c>
      <c r="U245" t="n">
        <v>0.6872</v>
      </c>
      <c r="V245" t="inlineStr">
        <is>
          <t>2026-02-23</t>
        </is>
      </c>
      <c r="W245" t="inlineStr">
        <is>
          <t>Between R1 and S1</t>
        </is>
      </c>
      <c r="X245" t="n">
        <v>25646.01</v>
      </c>
      <c r="Y245" t="n">
        <v>25763.52</v>
      </c>
      <c r="Z245" t="n">
        <v>25266.97</v>
      </c>
      <c r="AA245" t="n">
        <v>26072.68</v>
      </c>
      <c r="AB245" t="n">
        <v>25079.58</v>
      </c>
      <c r="AC245" t="n">
        <v>26260.07</v>
      </c>
      <c r="AD245" t="n">
        <v>24770.42</v>
      </c>
    </row>
    <row r="246">
      <c r="A246">
        <f>HYPERLINK("../../data/FEB24_DYNAMIC/FEB23/OTM/NIFTY26FEB25650PE_strategy.csv", "NIFTY26FEB25650PE")</f>
        <v/>
      </c>
      <c r="B246" t="inlineStr">
        <is>
          <t>PE</t>
        </is>
      </c>
      <c r="C246" t="inlineStr">
        <is>
          <t>12:51:01</t>
        </is>
      </c>
      <c r="D246" t="inlineStr">
        <is>
          <t>13:11:00</t>
        </is>
      </c>
      <c r="E246" t="n">
        <v>88.34999999999999</v>
      </c>
      <c r="F246" t="n">
        <v>95.84999999999999</v>
      </c>
      <c r="G246" t="n">
        <v>84578.11</v>
      </c>
      <c r="H246" t="n">
        <v>100000</v>
      </c>
      <c r="I246" t="n">
        <v>70000</v>
      </c>
      <c r="J246" t="inlineStr">
        <is>
          <t>EXECUTED</t>
        </is>
      </c>
      <c r="K246" t="n">
        <v>21.51</v>
      </c>
      <c r="L246" t="n">
        <v>-15.11</v>
      </c>
      <c r="M246">
        <f>HYPERLINK("../../data/FEB24_DYNAMIC/FEB23/OTM/NIFTY26FEB25650PE_strategy.html", "View")</f>
        <v/>
      </c>
      <c r="N246" t="inlineStr"/>
      <c r="O246" t="inlineStr"/>
      <c r="P246" t="inlineStr">
        <is>
          <t>BEARISH</t>
        </is>
      </c>
      <c r="Q246" t="inlineStr">
        <is>
          <t>INCLUDED (HYBRID_v5_BEARISH_PE)</t>
        </is>
      </c>
      <c r="R246" t="n">
        <v>8.49</v>
      </c>
      <c r="S246" t="inlineStr">
        <is>
          <t>Dynamic Trailing MA (Fast/Slow MA)</t>
        </is>
      </c>
      <c r="T246" t="n">
        <v>0.4825</v>
      </c>
      <c r="U246" t="n">
        <v>0.5563</v>
      </c>
      <c r="V246" t="inlineStr">
        <is>
          <t>2026-02-23</t>
        </is>
      </c>
      <c r="W246" t="inlineStr">
        <is>
          <t>Between R1 and S1</t>
        </is>
      </c>
      <c r="X246" t="n">
        <v>25656.1</v>
      </c>
      <c r="Y246" t="n">
        <v>25763.52</v>
      </c>
      <c r="Z246" t="n">
        <v>25266.97</v>
      </c>
      <c r="AA246" t="n">
        <v>26072.68</v>
      </c>
      <c r="AB246" t="n">
        <v>25079.58</v>
      </c>
      <c r="AC246" t="n">
        <v>26260.07</v>
      </c>
      <c r="AD246" t="n">
        <v>24770.42</v>
      </c>
    </row>
    <row r="247">
      <c r="A247">
        <f>HYPERLINK("../../data/FEB24_DYNAMIC/FEB23/OTM/NIFTY26FEB25650PE_strategy.csv", "NIFTY26FEB25650PE")</f>
        <v/>
      </c>
      <c r="B247" t="inlineStr">
        <is>
          <t>PE</t>
        </is>
      </c>
      <c r="C247" t="inlineStr">
        <is>
          <t>12:23:01</t>
        </is>
      </c>
      <c r="D247" t="inlineStr">
        <is>
          <t>12:39:00</t>
        </is>
      </c>
      <c r="E247" t="n">
        <v>91.3</v>
      </c>
      <c r="F247" t="n">
        <v>90.95</v>
      </c>
      <c r="G247" t="n">
        <v>77959.36</v>
      </c>
      <c r="H247" t="n">
        <v>100000</v>
      </c>
      <c r="I247" t="n">
        <v>70000</v>
      </c>
      <c r="J247" t="inlineStr">
        <is>
          <t>EXECUTED</t>
        </is>
      </c>
      <c r="K247" t="n">
        <v>15.61</v>
      </c>
      <c r="L247" t="n">
        <v>-16.76</v>
      </c>
      <c r="M247">
        <f>HYPERLINK("../../data/FEB24_DYNAMIC/FEB23/OTM/NIFTY26FEB25650PE_strategy.html", "View")</f>
        <v/>
      </c>
      <c r="N247" t="inlineStr"/>
      <c r="O247" t="inlineStr"/>
      <c r="P247" t="inlineStr">
        <is>
          <t>BEARISH</t>
        </is>
      </c>
      <c r="Q247" t="inlineStr">
        <is>
          <t>INCLUDED (HYBRID_v5_BEARISH_PE)</t>
        </is>
      </c>
      <c r="R247" t="n">
        <v>-0.38</v>
      </c>
      <c r="S247" t="inlineStr">
        <is>
          <t>Dynamic Trailing MA (Fast/Slow MA)</t>
        </is>
      </c>
      <c r="T247" t="n">
        <v>0.5456</v>
      </c>
      <c r="U247" t="n">
        <v>0.6612</v>
      </c>
      <c r="V247" t="inlineStr">
        <is>
          <t>2026-02-23</t>
        </is>
      </c>
      <c r="W247" t="inlineStr">
        <is>
          <t>Between R1 and S1</t>
        </is>
      </c>
      <c r="X247" t="n">
        <v>25656.21</v>
      </c>
      <c r="Y247" t="n">
        <v>25763.52</v>
      </c>
      <c r="Z247" t="n">
        <v>25266.97</v>
      </c>
      <c r="AA247" t="n">
        <v>26072.68</v>
      </c>
      <c r="AB247" t="n">
        <v>25079.58</v>
      </c>
      <c r="AC247" t="n">
        <v>26260.07</v>
      </c>
      <c r="AD247" t="n">
        <v>24770.42</v>
      </c>
    </row>
    <row r="248">
      <c r="A248">
        <f>HYPERLINK("../../data/FEB24_DYNAMIC/FEB23/OTM/NIFTY26FEB25650PE_strategy.csv", "NIFTY26FEB25650PE")</f>
        <v/>
      </c>
      <c r="B248" t="inlineStr">
        <is>
          <t>PE</t>
        </is>
      </c>
      <c r="C248" t="inlineStr">
        <is>
          <t>12:11:01</t>
        </is>
      </c>
      <c r="D248" t="inlineStr">
        <is>
          <t>12:12:00</t>
        </is>
      </c>
      <c r="E248" t="n">
        <v>93.15000000000001</v>
      </c>
      <c r="F248" t="n">
        <v>85.7</v>
      </c>
      <c r="G248" t="n">
        <v>78256.74000000001</v>
      </c>
      <c r="H248" t="n">
        <v>100000</v>
      </c>
      <c r="I248" t="n">
        <v>70000</v>
      </c>
      <c r="J248" t="inlineStr">
        <is>
          <t>EXECUTED</t>
        </is>
      </c>
      <c r="K248" t="n">
        <v>0</v>
      </c>
      <c r="L248" t="n">
        <v>-12.78</v>
      </c>
      <c r="M248">
        <f>HYPERLINK("../../data/FEB24_DYNAMIC/FEB23/OTM/NIFTY26FEB25650PE_strategy.html", "View")</f>
        <v/>
      </c>
      <c r="N248" t="inlineStr"/>
      <c r="O248" t="inlineStr"/>
      <c r="P248" t="inlineStr">
        <is>
          <t>BEARISH</t>
        </is>
      </c>
      <c r="Q248" t="inlineStr">
        <is>
          <t>INCLUDED (HYBRID_v5_BEARISH_PE)</t>
        </is>
      </c>
      <c r="R248" t="n">
        <v>-8</v>
      </c>
      <c r="S248" t="inlineStr">
        <is>
          <t>Fixed Stop Loss</t>
        </is>
      </c>
      <c r="T248" t="n">
        <v>0.5118</v>
      </c>
      <c r="U248" t="inlineStr"/>
      <c r="V248" t="inlineStr">
        <is>
          <t>2026-02-23</t>
        </is>
      </c>
      <c r="W248" t="inlineStr">
        <is>
          <t>Between R1 and S1</t>
        </is>
      </c>
      <c r="X248" t="n">
        <v>25659.3</v>
      </c>
      <c r="Y248" t="n">
        <v>25763.52</v>
      </c>
      <c r="Z248" t="n">
        <v>25266.97</v>
      </c>
      <c r="AA248" t="n">
        <v>26072.68</v>
      </c>
      <c r="AB248" t="n">
        <v>25079.58</v>
      </c>
      <c r="AC248" t="n">
        <v>26260.07</v>
      </c>
      <c r="AD248" t="n">
        <v>24770.42</v>
      </c>
    </row>
    <row r="249">
      <c r="A249">
        <f>HYPERLINK("../../data/FEB24_DYNAMIC/FEB23/OTM/NIFTY26FEB25650PE_strategy.csv", "NIFTY26FEB25650PE")</f>
        <v/>
      </c>
      <c r="B249" t="inlineStr">
        <is>
          <t>PE</t>
        </is>
      </c>
      <c r="C249" t="inlineStr">
        <is>
          <t>11:19:01</t>
        </is>
      </c>
      <c r="D249" t="inlineStr">
        <is>
          <t>11:24:00</t>
        </is>
      </c>
      <c r="E249" t="n">
        <v>82.90000000000001</v>
      </c>
      <c r="F249" t="n">
        <v>89.7</v>
      </c>
      <c r="G249" t="n">
        <v>85061.67</v>
      </c>
      <c r="H249" t="n">
        <v>100000</v>
      </c>
      <c r="I249" t="n">
        <v>70000</v>
      </c>
      <c r="J249" t="inlineStr">
        <is>
          <t>EXECUTED</t>
        </is>
      </c>
      <c r="K249" t="n">
        <v>11.1</v>
      </c>
      <c r="L249" t="n">
        <v>-14.54</v>
      </c>
      <c r="M249">
        <f>HYPERLINK("../../data/FEB24_DYNAMIC/FEB23/OTM/NIFTY26FEB25650PE_strategy.html", "View")</f>
        <v/>
      </c>
      <c r="N249" t="inlineStr"/>
      <c r="O249" t="inlineStr"/>
      <c r="P249" t="inlineStr">
        <is>
          <t>NEUTRAL</t>
        </is>
      </c>
      <c r="Q249" t="inlineStr">
        <is>
          <t>INCLUDED</t>
        </is>
      </c>
      <c r="R249" t="n">
        <v>8.199999999999999</v>
      </c>
      <c r="S249" t="inlineStr">
        <is>
          <t>Dynamic Trailing MA (Fast/Slow MA)</t>
        </is>
      </c>
      <c r="T249" t="n">
        <v>0.5646</v>
      </c>
      <c r="U249" t="n">
        <v>0.5273</v>
      </c>
      <c r="V249" t="inlineStr">
        <is>
          <t>2026-02-23</t>
        </is>
      </c>
      <c r="W249" t="inlineStr">
        <is>
          <t>Between R1 and S1</t>
        </is>
      </c>
      <c r="X249" t="n">
        <v>25677.19</v>
      </c>
      <c r="Y249" t="n">
        <v>25763.52</v>
      </c>
      <c r="Z249" t="n">
        <v>25266.97</v>
      </c>
      <c r="AA249" t="n">
        <v>26072.68</v>
      </c>
      <c r="AB249" t="n">
        <v>25079.58</v>
      </c>
      <c r="AC249" t="n">
        <v>26260.07</v>
      </c>
      <c r="AD249" t="n">
        <v>24770.42</v>
      </c>
    </row>
    <row r="250">
      <c r="A250">
        <f>HYPERLINK("../../data/FEB24_DYNAMIC/FEB23/OTM/NIFTY26FEB25700CE_strategy.csv", "NIFTY26FEB25700CE")</f>
        <v/>
      </c>
      <c r="B250" t="inlineStr">
        <is>
          <t>CE</t>
        </is>
      </c>
      <c r="C250" t="inlineStr">
        <is>
          <t>11:11:01</t>
        </is>
      </c>
      <c r="D250" t="inlineStr">
        <is>
          <t>11:12:00</t>
        </is>
      </c>
      <c r="E250" t="n">
        <v>94.5</v>
      </c>
      <c r="F250" t="n">
        <v>86.94</v>
      </c>
      <c r="G250" t="n">
        <v>78615.22</v>
      </c>
      <c r="H250" t="n">
        <v>100000</v>
      </c>
      <c r="I250" t="n">
        <v>70000</v>
      </c>
      <c r="J250" t="inlineStr">
        <is>
          <t>EXECUTED</t>
        </is>
      </c>
      <c r="K250" t="n">
        <v>0</v>
      </c>
      <c r="L250" t="n">
        <v>-21.43</v>
      </c>
      <c r="M250">
        <f>HYPERLINK("../../data/FEB24_DYNAMIC/FEB23/OTM/NIFTY26FEB25700CE_strategy.html", "View")</f>
        <v/>
      </c>
      <c r="N250" t="inlineStr"/>
      <c r="O250" t="inlineStr"/>
      <c r="P250" t="inlineStr">
        <is>
          <t>NEUTRAL</t>
        </is>
      </c>
      <c r="Q250" t="inlineStr">
        <is>
          <t>INCLUDED</t>
        </is>
      </c>
      <c r="R250" t="n">
        <v>-8</v>
      </c>
      <c r="S250" t="inlineStr">
        <is>
          <t>Fixed SL Exit</t>
        </is>
      </c>
      <c r="T250" t="n">
        <v>0.5546</v>
      </c>
      <c r="U250" t="inlineStr"/>
      <c r="V250" t="inlineStr">
        <is>
          <t>2026-02-23</t>
        </is>
      </c>
      <c r="W250" t="inlineStr">
        <is>
          <t>Between R1 and S1</t>
        </is>
      </c>
      <c r="X250" t="n">
        <v>25687.6</v>
      </c>
      <c r="Y250" t="n">
        <v>25763.52</v>
      </c>
      <c r="Z250" t="n">
        <v>25266.97</v>
      </c>
      <c r="AA250" t="n">
        <v>26072.68</v>
      </c>
      <c r="AB250" t="n">
        <v>25079.58</v>
      </c>
      <c r="AC250" t="n">
        <v>26260.07</v>
      </c>
      <c r="AD250" t="n">
        <v>24770.42</v>
      </c>
    </row>
    <row r="251">
      <c r="A251">
        <f>HYPERLINK("../../data/FEB24_DYNAMIC/FEB23/OTM/NIFTY26FEB25650PE_strategy.csv", "NIFTY26FEB25650PE")</f>
        <v/>
      </c>
      <c r="B251" t="inlineStr">
        <is>
          <t>PE</t>
        </is>
      </c>
      <c r="C251" t="inlineStr">
        <is>
          <t>11:05:01</t>
        </is>
      </c>
      <c r="D251" t="inlineStr">
        <is>
          <t>11:09:00</t>
        </is>
      </c>
      <c r="E251" t="n">
        <v>81.8</v>
      </c>
      <c r="F251" t="n">
        <v>80.81999999999999</v>
      </c>
      <c r="G251" t="n">
        <v>85451.33</v>
      </c>
      <c r="H251" t="n">
        <v>100000</v>
      </c>
      <c r="I251" t="n">
        <v>70000</v>
      </c>
      <c r="J251" t="inlineStr">
        <is>
          <t>EXECUTED</t>
        </is>
      </c>
      <c r="K251" t="n">
        <v>24.45</v>
      </c>
      <c r="L251" t="n">
        <v>-8.5</v>
      </c>
      <c r="M251">
        <f>HYPERLINK("../../data/FEB24_DYNAMIC/FEB23/OTM/NIFTY26FEB25650PE_strategy.html", "View")</f>
        <v/>
      </c>
      <c r="N251" t="inlineStr"/>
      <c r="O251" t="inlineStr"/>
      <c r="P251" t="inlineStr">
        <is>
          <t>NEUTRAL</t>
        </is>
      </c>
      <c r="Q251" t="inlineStr">
        <is>
          <t>INCLUDED</t>
        </is>
      </c>
      <c r="R251" t="n">
        <v>-1.2</v>
      </c>
      <c r="S251" t="inlineStr">
        <is>
          <t>SuperTrend Stop Loss Exit</t>
        </is>
      </c>
      <c r="T251" t="n">
        <v>0.4044</v>
      </c>
      <c r="U251" t="n">
        <v>0.5458</v>
      </c>
      <c r="V251" t="inlineStr">
        <is>
          <t>2026-02-23</t>
        </is>
      </c>
      <c r="W251" t="inlineStr">
        <is>
          <t>Between R1 and S1</t>
        </is>
      </c>
      <c r="X251" t="n">
        <v>25679.31</v>
      </c>
      <c r="Y251" t="n">
        <v>25763.52</v>
      </c>
      <c r="Z251" t="n">
        <v>25266.97</v>
      </c>
      <c r="AA251" t="n">
        <v>26072.68</v>
      </c>
      <c r="AB251" t="n">
        <v>25079.58</v>
      </c>
      <c r="AC251" t="n">
        <v>26260.07</v>
      </c>
      <c r="AD251" t="n">
        <v>24770.42</v>
      </c>
    </row>
    <row r="252">
      <c r="A252">
        <f>HYPERLINK("../../data/FEB24_DYNAMIC/FEB23/OTM/NIFTY26FEB25700CE_strategy.csv", "NIFTY26FEB25700CE")</f>
        <v/>
      </c>
      <c r="B252" t="inlineStr">
        <is>
          <t>CE</t>
        </is>
      </c>
      <c r="C252" t="inlineStr">
        <is>
          <t>10:58:01</t>
        </is>
      </c>
      <c r="D252" t="inlineStr">
        <is>
          <t>11:06:00</t>
        </is>
      </c>
      <c r="E252" t="n">
        <v>88.5</v>
      </c>
      <c r="F252" t="n">
        <v>83.2</v>
      </c>
      <c r="G252" t="n">
        <v>86489.2</v>
      </c>
      <c r="H252" t="n">
        <v>100000</v>
      </c>
      <c r="I252" t="n">
        <v>70000</v>
      </c>
      <c r="J252" t="inlineStr">
        <is>
          <t>EXECUTED</t>
        </is>
      </c>
      <c r="K252" t="n">
        <v>9.49</v>
      </c>
      <c r="L252" t="n">
        <v>-5.31</v>
      </c>
      <c r="M252">
        <f>HYPERLINK("../../data/FEB24_DYNAMIC/FEB23/OTM/NIFTY26FEB25700CE_strategy.html", "View")</f>
        <v/>
      </c>
      <c r="N252" t="inlineStr"/>
      <c r="O252" t="inlineStr"/>
      <c r="P252" t="inlineStr">
        <is>
          <t>NEUTRAL</t>
        </is>
      </c>
      <c r="Q252" t="inlineStr">
        <is>
          <t>INCLUDED</t>
        </is>
      </c>
      <c r="R252" t="n">
        <v>-5.99</v>
      </c>
      <c r="S252" t="inlineStr">
        <is>
          <t>SuperTrend Stop Loss Exit</t>
        </is>
      </c>
      <c r="T252" t="n">
        <v>0.7962</v>
      </c>
      <c r="U252" t="n">
        <v>0.836</v>
      </c>
      <c r="V252" t="inlineStr">
        <is>
          <t>2026-02-23</t>
        </is>
      </c>
      <c r="W252" t="inlineStr">
        <is>
          <t>Between R1 and S1</t>
        </is>
      </c>
      <c r="X252" t="n">
        <v>25675.01</v>
      </c>
      <c r="Y252" t="n">
        <v>25763.52</v>
      </c>
      <c r="Z252" t="n">
        <v>25266.97</v>
      </c>
      <c r="AA252" t="n">
        <v>26072.68</v>
      </c>
      <c r="AB252" t="n">
        <v>25079.58</v>
      </c>
      <c r="AC252" t="n">
        <v>26260.07</v>
      </c>
      <c r="AD252" t="n">
        <v>24770.42</v>
      </c>
    </row>
    <row r="253">
      <c r="A253">
        <f>HYPERLINK("../../data/FEB24_DYNAMIC/FEB23/OTM/NIFTY26FEB25750CE_strategy.csv", "NIFTY26FEB25750CE")</f>
        <v/>
      </c>
      <c r="B253" t="inlineStr">
        <is>
          <t>CE</t>
        </is>
      </c>
      <c r="C253" t="inlineStr">
        <is>
          <t>10:18:01</t>
        </is>
      </c>
      <c r="D253" t="inlineStr">
        <is>
          <t>10:21:00</t>
        </is>
      </c>
      <c r="E253" t="n">
        <v>91.90000000000001</v>
      </c>
      <c r="F253" t="n">
        <v>84.55</v>
      </c>
      <c r="G253" t="n">
        <v>92000</v>
      </c>
      <c r="H253" t="n">
        <v>100000</v>
      </c>
      <c r="I253" t="n">
        <v>70000</v>
      </c>
      <c r="J253" t="inlineStr">
        <is>
          <t>EXECUTED</t>
        </is>
      </c>
      <c r="K253" t="n">
        <v>4.13</v>
      </c>
      <c r="L253" t="n">
        <v>-13.6</v>
      </c>
      <c r="M253">
        <f>HYPERLINK("../../data/FEB24_DYNAMIC/FEB23/OTM/NIFTY26FEB25750CE_strategy.html", "View")</f>
        <v/>
      </c>
      <c r="N253" t="inlineStr"/>
      <c r="O253" t="inlineStr"/>
      <c r="P253" t="inlineStr">
        <is>
          <t>BEARISH</t>
        </is>
      </c>
      <c r="Q253" t="inlineStr">
        <is>
          <t>INCLUDED (HYBRID_NEUTRAL_ZONE)</t>
        </is>
      </c>
      <c r="R253" t="n">
        <v>-8</v>
      </c>
      <c r="S253" t="inlineStr">
        <is>
          <t>Fixed Stop Loss</t>
        </is>
      </c>
      <c r="T253" t="n">
        <v>0.3791</v>
      </c>
      <c r="U253" t="inlineStr"/>
      <c r="V253" t="inlineStr">
        <is>
          <t>2026-02-23</t>
        </is>
      </c>
      <c r="W253" t="inlineStr">
        <is>
          <t>Between R1 and S1</t>
        </is>
      </c>
      <c r="X253" t="n">
        <v>25728.51</v>
      </c>
      <c r="Y253" t="n">
        <v>25763.52</v>
      </c>
      <c r="Z253" t="n">
        <v>25266.97</v>
      </c>
      <c r="AA253" t="n">
        <v>26072.68</v>
      </c>
      <c r="AB253" t="n">
        <v>25079.58</v>
      </c>
      <c r="AC253" t="n">
        <v>26260.07</v>
      </c>
      <c r="AD253" t="n">
        <v>24770.42</v>
      </c>
    </row>
    <row r="254">
      <c r="A254">
        <f>HYPERLINK("../../data/MAR02_DYNAMIC/FEB25/OTM/NIFTY2630225500CE_strategy.csv", "NIFTY2630225500CE")</f>
        <v/>
      </c>
      <c r="B254" t="inlineStr">
        <is>
          <t>CE</t>
        </is>
      </c>
      <c r="C254" t="inlineStr">
        <is>
          <t>14:55:01</t>
        </is>
      </c>
      <c r="D254" t="inlineStr">
        <is>
          <t>15:11:00</t>
        </is>
      </c>
      <c r="E254" t="n">
        <v>140</v>
      </c>
      <c r="F254" t="n">
        <v>144.03</v>
      </c>
      <c r="G254" t="n">
        <v>120745.02</v>
      </c>
      <c r="H254" t="n">
        <v>157606.89</v>
      </c>
      <c r="I254" t="n">
        <v>110324.82</v>
      </c>
      <c r="J254" t="inlineStr">
        <is>
          <t>EXECUTED</t>
        </is>
      </c>
      <c r="K254" t="n">
        <v>15.5</v>
      </c>
      <c r="L254" t="n">
        <v>-5.29</v>
      </c>
      <c r="M254">
        <f>HYPERLINK("../../data/MAR02_DYNAMIC/FEB25/OTM/NIFTY2630225500CE_strategy.html", "View")</f>
        <v/>
      </c>
      <c r="N254" t="inlineStr"/>
      <c r="O254" t="inlineStr"/>
      <c r="P254" t="inlineStr">
        <is>
          <t>NEUTRAL</t>
        </is>
      </c>
      <c r="Q254" t="inlineStr">
        <is>
          <t>INCLUDED</t>
        </is>
      </c>
      <c r="R254" t="n">
        <v>2.88</v>
      </c>
      <c r="S254" t="inlineStr">
        <is>
          <t>SuperTrend Stop Loss Exit</t>
        </is>
      </c>
      <c r="T254" t="n">
        <v>0.4178</v>
      </c>
      <c r="U254" t="n">
        <v>0.6938</v>
      </c>
      <c r="V254" t="inlineStr">
        <is>
          <t>2026-02-25</t>
        </is>
      </c>
      <c r="W254" t="inlineStr">
        <is>
          <t>Between R1 and S1</t>
        </is>
      </c>
      <c r="X254" t="n">
        <v>25464.7</v>
      </c>
      <c r="Y254" t="n">
        <v>25763.52</v>
      </c>
      <c r="Z254" t="n">
        <v>25266.97</v>
      </c>
      <c r="AA254" t="n">
        <v>26072.68</v>
      </c>
      <c r="AB254" t="n">
        <v>25079.58</v>
      </c>
      <c r="AC254" t="n">
        <v>26260.07</v>
      </c>
      <c r="AD254" t="n">
        <v>24770.42</v>
      </c>
    </row>
    <row r="255">
      <c r="A255">
        <f>HYPERLINK("../../data/MAR02_DYNAMIC/FEB25/OTM/NIFTY2630225450PE_strategy.csv", "NIFTY2630225450PE")</f>
        <v/>
      </c>
      <c r="B255" t="inlineStr">
        <is>
          <t>PE</t>
        </is>
      </c>
      <c r="C255" t="inlineStr">
        <is>
          <t>14:28:01</t>
        </is>
      </c>
      <c r="D255" t="inlineStr">
        <is>
          <t>14:31:00</t>
        </is>
      </c>
      <c r="E255" t="n">
        <v>131.2</v>
      </c>
      <c r="F255" t="n">
        <v>122.67</v>
      </c>
      <c r="G255" t="n">
        <v>117364.91</v>
      </c>
      <c r="H255" t="n">
        <v>157606.89</v>
      </c>
      <c r="I255" t="n">
        <v>110324.82</v>
      </c>
      <c r="J255" t="inlineStr">
        <is>
          <t>EXECUTED</t>
        </is>
      </c>
      <c r="K255" t="n">
        <v>3.47</v>
      </c>
      <c r="L255" t="n">
        <v>-8.35</v>
      </c>
      <c r="M255">
        <f>HYPERLINK("../../data/MAR02_DYNAMIC/FEB25/OTM/NIFTY2630225450PE_strategy.html", "View")</f>
        <v/>
      </c>
      <c r="N255" t="inlineStr"/>
      <c r="O255" t="inlineStr"/>
      <c r="P255" t="inlineStr">
        <is>
          <t>NEUTRAL</t>
        </is>
      </c>
      <c r="Q255" t="inlineStr">
        <is>
          <t>INCLUDED</t>
        </is>
      </c>
      <c r="R255" t="n">
        <v>-6.5</v>
      </c>
      <c r="S255" t="inlineStr">
        <is>
          <t>Fixed SL Exit</t>
        </is>
      </c>
      <c r="T255" t="n">
        <v>0.4841</v>
      </c>
      <c r="U255" t="inlineStr"/>
      <c r="V255" t="inlineStr">
        <is>
          <t>2026-02-25</t>
        </is>
      </c>
      <c r="W255" t="inlineStr">
        <is>
          <t>Between R1 and S1</t>
        </is>
      </c>
      <c r="X255" t="n">
        <v>25454.58</v>
      </c>
      <c r="Y255" t="n">
        <v>25763.52</v>
      </c>
      <c r="Z255" t="n">
        <v>25266.97</v>
      </c>
      <c r="AA255" t="n">
        <v>26072.68</v>
      </c>
      <c r="AB255" t="n">
        <v>25079.58</v>
      </c>
      <c r="AC255" t="n">
        <v>26260.07</v>
      </c>
      <c r="AD255" t="n">
        <v>24770.42</v>
      </c>
    </row>
    <row r="256">
      <c r="A256">
        <f>HYPERLINK("../../data/MAR02_DYNAMIC/FEB25/OTM/NIFTY2630225450CE_strategy.csv", "NIFTY2630225450CE")</f>
        <v/>
      </c>
      <c r="B256" t="inlineStr">
        <is>
          <t>CE</t>
        </is>
      </c>
      <c r="C256" t="inlineStr">
        <is>
          <t>14:11:01</t>
        </is>
      </c>
      <c r="D256" t="inlineStr">
        <is>
          <t>14:27:00</t>
        </is>
      </c>
      <c r="E256" t="n">
        <v>161</v>
      </c>
      <c r="F256" t="n">
        <v>169.75</v>
      </c>
      <c r="G256" t="n">
        <v>125523.97</v>
      </c>
      <c r="H256" t="n">
        <v>157606.89</v>
      </c>
      <c r="I256" t="n">
        <v>110324.82</v>
      </c>
      <c r="J256" t="inlineStr">
        <is>
          <t>EXECUTED</t>
        </is>
      </c>
      <c r="K256" t="n">
        <v>15.03</v>
      </c>
      <c r="L256" t="n">
        <v>-5.87</v>
      </c>
      <c r="M256">
        <f>HYPERLINK("../../data/MAR02_DYNAMIC/FEB25/OTM/NIFTY2630225450CE_strategy.html", "View")</f>
        <v/>
      </c>
      <c r="N256" t="inlineStr"/>
      <c r="O256" t="inlineStr"/>
      <c r="P256" t="inlineStr">
        <is>
          <t>NEUTRAL</t>
        </is>
      </c>
      <c r="Q256" t="inlineStr">
        <is>
          <t>INCLUDED</t>
        </is>
      </c>
      <c r="R256" t="n">
        <v>5.43</v>
      </c>
      <c r="S256" t="inlineStr">
        <is>
          <t>SuperTrend Stop Loss Exit</t>
        </is>
      </c>
      <c r="T256" t="n">
        <v>0.4328</v>
      </c>
      <c r="U256" t="n">
        <v>0.7221</v>
      </c>
      <c r="V256" t="inlineStr">
        <is>
          <t>2026-02-25</t>
        </is>
      </c>
      <c r="W256" t="inlineStr">
        <is>
          <t>Between R1 and S1</t>
        </is>
      </c>
      <c r="X256" t="n">
        <v>25450.06</v>
      </c>
      <c r="Y256" t="n">
        <v>25763.52</v>
      </c>
      <c r="Z256" t="n">
        <v>25266.97</v>
      </c>
      <c r="AA256" t="n">
        <v>26072.68</v>
      </c>
      <c r="AB256" t="n">
        <v>25079.58</v>
      </c>
      <c r="AC256" t="n">
        <v>26260.07</v>
      </c>
      <c r="AD256" t="n">
        <v>24770.42</v>
      </c>
    </row>
    <row r="257">
      <c r="A257">
        <f>HYPERLINK("../../data/MAR02_DYNAMIC/FEB25/OTM/NIFTY2630225450PE_strategy.csv", "NIFTY2630225450PE")</f>
        <v/>
      </c>
      <c r="B257" t="inlineStr">
        <is>
          <t>PE</t>
        </is>
      </c>
      <c r="C257" t="inlineStr">
        <is>
          <t>14:01:01</t>
        </is>
      </c>
      <c r="D257" t="inlineStr">
        <is>
          <t>14:12:00</t>
        </is>
      </c>
      <c r="E257" t="n">
        <v>133.35</v>
      </c>
      <c r="F257" t="n">
        <v>132.23</v>
      </c>
      <c r="G257" t="n">
        <v>119059.06</v>
      </c>
      <c r="H257" t="n">
        <v>157606.89</v>
      </c>
      <c r="I257" t="n">
        <v>110324.82</v>
      </c>
      <c r="J257" t="inlineStr">
        <is>
          <t>EXECUTED</t>
        </is>
      </c>
      <c r="K257" t="n">
        <v>12.45</v>
      </c>
      <c r="L257" t="n">
        <v>-6.79</v>
      </c>
      <c r="M257">
        <f>HYPERLINK("../../data/MAR02_DYNAMIC/FEB25/OTM/NIFTY2630225450PE_strategy.html", "View")</f>
        <v/>
      </c>
      <c r="N257" t="inlineStr"/>
      <c r="O257" t="inlineStr"/>
      <c r="P257" t="inlineStr">
        <is>
          <t>NEUTRAL</t>
        </is>
      </c>
      <c r="Q257" t="inlineStr">
        <is>
          <t>INCLUDED</t>
        </is>
      </c>
      <c r="R257" t="n">
        <v>-0.84</v>
      </c>
      <c r="S257" t="inlineStr">
        <is>
          <t>SuperTrend Stop Loss Exit</t>
        </is>
      </c>
      <c r="T257" t="n">
        <v>0.5887</v>
      </c>
      <c r="U257" t="n">
        <v>0.7699</v>
      </c>
      <c r="V257" t="inlineStr">
        <is>
          <t>2026-02-25</t>
        </is>
      </c>
      <c r="W257" t="inlineStr">
        <is>
          <t>Between R1 and S1</t>
        </is>
      </c>
      <c r="X257" t="n">
        <v>25460.86</v>
      </c>
      <c r="Y257" t="n">
        <v>25763.52</v>
      </c>
      <c r="Z257" t="n">
        <v>25266.97</v>
      </c>
      <c r="AA257" t="n">
        <v>26072.68</v>
      </c>
      <c r="AB257" t="n">
        <v>25079.58</v>
      </c>
      <c r="AC257" t="n">
        <v>26260.07</v>
      </c>
      <c r="AD257" t="n">
        <v>24770.42</v>
      </c>
    </row>
    <row r="258">
      <c r="A258">
        <f>HYPERLINK("../../data/MAR02_DYNAMIC/FEB25/OTM/NIFTY2630225450PE_strategy.csv", "NIFTY2630225450PE")</f>
        <v/>
      </c>
      <c r="B258" t="inlineStr">
        <is>
          <t>PE</t>
        </is>
      </c>
      <c r="C258" t="inlineStr">
        <is>
          <t>13:46:01</t>
        </is>
      </c>
      <c r="D258" t="inlineStr">
        <is>
          <t>13:48:00</t>
        </is>
      </c>
      <c r="E258" t="n">
        <v>138.5</v>
      </c>
      <c r="F258" t="n">
        <v>129.5</v>
      </c>
      <c r="G258" t="n">
        <v>120067.63</v>
      </c>
      <c r="H258" t="n">
        <v>157606.89</v>
      </c>
      <c r="I258" t="n">
        <v>110324.82</v>
      </c>
      <c r="J258" t="inlineStr">
        <is>
          <t>EXECUTED</t>
        </is>
      </c>
      <c r="K258" t="n">
        <v>1.7</v>
      </c>
      <c r="L258" t="n">
        <v>-5.2</v>
      </c>
      <c r="M258">
        <f>HYPERLINK("../../data/MAR02_DYNAMIC/FEB25/OTM/NIFTY2630225450PE_strategy.html", "View")</f>
        <v/>
      </c>
      <c r="N258" t="inlineStr"/>
      <c r="O258" t="inlineStr"/>
      <c r="P258" t="inlineStr">
        <is>
          <t>NEUTRAL</t>
        </is>
      </c>
      <c r="Q258" t="inlineStr">
        <is>
          <t>INCLUDED</t>
        </is>
      </c>
      <c r="R258" t="n">
        <v>-6.5</v>
      </c>
      <c r="S258" t="inlineStr">
        <is>
          <t>Fixed Stop Loss</t>
        </is>
      </c>
      <c r="T258" t="n">
        <v>0.6034</v>
      </c>
      <c r="U258" t="inlineStr"/>
      <c r="V258" t="inlineStr">
        <is>
          <t>2026-02-25</t>
        </is>
      </c>
      <c r="W258" t="inlineStr">
        <is>
          <t>Between R1 and S1</t>
        </is>
      </c>
      <c r="X258" t="n">
        <v>25453.09</v>
      </c>
      <c r="Y258" t="n">
        <v>25763.52</v>
      </c>
      <c r="Z258" t="n">
        <v>25266.97</v>
      </c>
      <c r="AA258" t="n">
        <v>26072.68</v>
      </c>
      <c r="AB258" t="n">
        <v>25079.58</v>
      </c>
      <c r="AC258" t="n">
        <v>26260.07</v>
      </c>
      <c r="AD258" t="n">
        <v>24770.42</v>
      </c>
    </row>
    <row r="259">
      <c r="A259">
        <f>HYPERLINK("../../data/MAR02_DYNAMIC/FEB25/OTM/NIFTY2630225450PE_strategy.csv", "NIFTY2630225450PE")</f>
        <v/>
      </c>
      <c r="B259" t="inlineStr">
        <is>
          <t>PE</t>
        </is>
      </c>
      <c r="C259" t="inlineStr">
        <is>
          <t>13:35:01</t>
        </is>
      </c>
      <c r="D259" t="inlineStr">
        <is>
          <t>13:37:00</t>
        </is>
      </c>
      <c r="E259" t="n">
        <v>138.6</v>
      </c>
      <c r="F259" t="n">
        <v>129.59</v>
      </c>
      <c r="G259" t="n">
        <v>137783.88</v>
      </c>
      <c r="H259" t="n">
        <v>157606.89</v>
      </c>
      <c r="I259" t="n">
        <v>110324.82</v>
      </c>
      <c r="J259" t="inlineStr">
        <is>
          <t>EXECUTED</t>
        </is>
      </c>
      <c r="K259" t="n">
        <v>0</v>
      </c>
      <c r="L259" t="n">
        <v>-7.43</v>
      </c>
      <c r="M259">
        <f>HYPERLINK("../../data/MAR02_DYNAMIC/FEB25/OTM/NIFTY2630225450PE_strategy.html", "View")</f>
        <v/>
      </c>
      <c r="N259" t="inlineStr"/>
      <c r="O259" t="inlineStr"/>
      <c r="P259" t="inlineStr">
        <is>
          <t>NEUTRAL</t>
        </is>
      </c>
      <c r="Q259" t="inlineStr">
        <is>
          <t>INCLUDED</t>
        </is>
      </c>
      <c r="R259" t="n">
        <v>-6.5</v>
      </c>
      <c r="S259" t="inlineStr">
        <is>
          <t>Fixed Stop Loss</t>
        </is>
      </c>
      <c r="T259" t="n">
        <v>0.5998</v>
      </c>
      <c r="U259" t="inlineStr"/>
      <c r="V259" t="inlineStr">
        <is>
          <t>2026-02-25</t>
        </is>
      </c>
      <c r="W259" t="inlineStr">
        <is>
          <t>Between R1 and S1</t>
        </is>
      </c>
      <c r="X259" t="n">
        <v>25464.78</v>
      </c>
      <c r="Y259" t="n">
        <v>25763.52</v>
      </c>
      <c r="Z259" t="n">
        <v>25266.97</v>
      </c>
      <c r="AA259" t="n">
        <v>26072.68</v>
      </c>
      <c r="AB259" t="n">
        <v>25079.58</v>
      </c>
      <c r="AC259" t="n">
        <v>26260.07</v>
      </c>
      <c r="AD259" t="n">
        <v>24770.42</v>
      </c>
    </row>
    <row r="260">
      <c r="A260">
        <f>HYPERLINK("../../data/MAR02_DYNAMIC/FEB25/OTM/NIFTY2630225500CE_strategy.csv", "NIFTY2630225500CE")</f>
        <v/>
      </c>
      <c r="B260" t="inlineStr">
        <is>
          <t>CE</t>
        </is>
      </c>
      <c r="C260" t="inlineStr">
        <is>
          <t>13:31:01</t>
        </is>
      </c>
      <c r="D260" t="inlineStr">
        <is>
          <t>13:45:00</t>
        </is>
      </c>
      <c r="E260" t="n">
        <v>143.3</v>
      </c>
      <c r="F260" t="n">
        <v>133.55</v>
      </c>
      <c r="G260" t="n">
        <v>128414.58</v>
      </c>
      <c r="H260" t="n">
        <v>157606.89</v>
      </c>
      <c r="I260" t="n">
        <v>110324.82</v>
      </c>
      <c r="J260" t="inlineStr">
        <is>
          <t>EXECUTED</t>
        </is>
      </c>
      <c r="K260" t="n">
        <v>1.88</v>
      </c>
      <c r="L260" t="n">
        <v>-9.6</v>
      </c>
      <c r="M260">
        <f>HYPERLINK("../../data/MAR02_DYNAMIC/FEB25/OTM/NIFTY2630225500CE_strategy.html", "View")</f>
        <v/>
      </c>
      <c r="N260" t="inlineStr"/>
      <c r="O260" t="inlineStr"/>
      <c r="P260" t="inlineStr">
        <is>
          <t>BULLISH</t>
        </is>
      </c>
      <c r="Q260" t="inlineStr">
        <is>
          <t>INCLUDED (HYBRID_v5_BULLISH_CE)</t>
        </is>
      </c>
      <c r="R260" t="n">
        <v>-6.8</v>
      </c>
      <c r="S260" t="inlineStr">
        <is>
          <t>SuperTrend Stop Loss Exit</t>
        </is>
      </c>
      <c r="T260" t="n">
        <v>0.4201</v>
      </c>
      <c r="U260" t="inlineStr"/>
      <c r="V260" t="inlineStr">
        <is>
          <t>2026-02-25</t>
        </is>
      </c>
      <c r="W260" t="inlineStr">
        <is>
          <t>Between R1 and S1</t>
        </is>
      </c>
      <c r="X260" t="n">
        <v>25473.62</v>
      </c>
      <c r="Y260" t="n">
        <v>25763.52</v>
      </c>
      <c r="Z260" t="n">
        <v>25266.97</v>
      </c>
      <c r="AA260" t="n">
        <v>26072.68</v>
      </c>
      <c r="AB260" t="n">
        <v>25079.58</v>
      </c>
      <c r="AC260" t="n">
        <v>26260.07</v>
      </c>
      <c r="AD260" t="n">
        <v>24770.42</v>
      </c>
    </row>
    <row r="261">
      <c r="A261">
        <f>HYPERLINK("../../data/MAR02_DYNAMIC/FEB25/OTM/NIFTY2630225500CE_strategy.csv", "NIFTY2630225500CE")</f>
        <v/>
      </c>
      <c r="B261" t="inlineStr">
        <is>
          <t>CE</t>
        </is>
      </c>
      <c r="C261" t="inlineStr">
        <is>
          <t>13:07:01</t>
        </is>
      </c>
      <c r="D261" t="inlineStr">
        <is>
          <t>13:26:00</t>
        </is>
      </c>
      <c r="E261" t="n">
        <v>144.75</v>
      </c>
      <c r="F261" t="n">
        <v>135.34</v>
      </c>
      <c r="G261" t="n">
        <v>147362.44</v>
      </c>
      <c r="H261" t="n">
        <v>157606.89</v>
      </c>
      <c r="I261" t="n">
        <v>110324.82</v>
      </c>
      <c r="J261" t="inlineStr">
        <is>
          <t>EXECUTED</t>
        </is>
      </c>
      <c r="K261" t="n">
        <v>2.76</v>
      </c>
      <c r="L261" t="n">
        <v>-8.84</v>
      </c>
      <c r="M261">
        <f>HYPERLINK("../../data/MAR02_DYNAMIC/FEB25/OTM/NIFTY2630225500CE_strategy.html", "View")</f>
        <v/>
      </c>
      <c r="N261" t="inlineStr"/>
      <c r="O261" t="inlineStr"/>
      <c r="P261" t="inlineStr">
        <is>
          <t>NEUTRAL</t>
        </is>
      </c>
      <c r="Q261" t="inlineStr">
        <is>
          <t>INCLUDED</t>
        </is>
      </c>
      <c r="R261" t="n">
        <v>-6.5</v>
      </c>
      <c r="S261" t="inlineStr">
        <is>
          <t>Fixed Stop Loss</t>
        </is>
      </c>
      <c r="T261" t="n">
        <v>0.294</v>
      </c>
      <c r="U261" t="inlineStr"/>
      <c r="V261" t="inlineStr">
        <is>
          <t>2026-02-25</t>
        </is>
      </c>
      <c r="W261" t="inlineStr">
        <is>
          <t>Between R1 and S1</t>
        </is>
      </c>
      <c r="X261" t="n">
        <v>25463.26</v>
      </c>
      <c r="Y261" t="n">
        <v>25763.52</v>
      </c>
      <c r="Z261" t="n">
        <v>25266.97</v>
      </c>
      <c r="AA261" t="n">
        <v>26072.68</v>
      </c>
      <c r="AB261" t="n">
        <v>25079.58</v>
      </c>
      <c r="AC261" t="n">
        <v>26260.07</v>
      </c>
      <c r="AD261" t="n">
        <v>24770.42</v>
      </c>
    </row>
    <row r="262">
      <c r="A262">
        <f>HYPERLINK("../../data/MAR02_DYNAMIC/FEB25/OTM/NIFTY2630225600PE_strategy.csv", "NIFTY2630225600PE")</f>
        <v/>
      </c>
      <c r="B262" t="inlineStr">
        <is>
          <t>PE</t>
        </is>
      </c>
      <c r="C262" t="inlineStr">
        <is>
          <t>12:22:01</t>
        </is>
      </c>
      <c r="D262" t="inlineStr">
        <is>
          <t>13:00:00</t>
        </is>
      </c>
      <c r="E262" t="n">
        <v>125.4</v>
      </c>
      <c r="F262" t="n">
        <v>208.55</v>
      </c>
      <c r="G262" t="n">
        <v>157606.89</v>
      </c>
      <c r="H262" t="n">
        <v>157606.89</v>
      </c>
      <c r="I262" t="n">
        <v>110324.82</v>
      </c>
      <c r="J262" t="inlineStr">
        <is>
          <t>EXECUTED</t>
        </is>
      </c>
      <c r="K262" t="n">
        <v>80.38</v>
      </c>
      <c r="L262" t="n">
        <v>-9.65</v>
      </c>
      <c r="M262">
        <f>HYPERLINK("../../data/MAR02_DYNAMIC/FEB25/OTM/NIFTY2630225600PE_strategy.html", "View")</f>
        <v/>
      </c>
      <c r="N262" t="inlineStr"/>
      <c r="O262" t="inlineStr"/>
      <c r="P262" t="inlineStr">
        <is>
          <t>BEARISH</t>
        </is>
      </c>
      <c r="Q262" t="inlineStr">
        <is>
          <t>INCLUDED (HYBRID_v5_BEARISH_PE)</t>
        </is>
      </c>
      <c r="R262" t="n">
        <v>66.31</v>
      </c>
      <c r="S262" t="inlineStr">
        <is>
          <t>Dynamic Trailing MA (Fast/Slow MA)</t>
        </is>
      </c>
      <c r="T262" t="n">
        <v>0.6168</v>
      </c>
      <c r="U262" t="n">
        <v>0.8255</v>
      </c>
      <c r="V262" t="inlineStr">
        <is>
          <t>2026-02-25</t>
        </is>
      </c>
      <c r="W262" t="inlineStr">
        <is>
          <t>Between R1 and S1</t>
        </is>
      </c>
      <c r="X262" t="n">
        <v>25592.4</v>
      </c>
      <c r="Y262" t="n">
        <v>25763.52</v>
      </c>
      <c r="Z262" t="n">
        <v>25266.97</v>
      </c>
      <c r="AA262" t="n">
        <v>26072.68</v>
      </c>
      <c r="AB262" t="n">
        <v>25079.58</v>
      </c>
      <c r="AC262" t="n">
        <v>26260.07</v>
      </c>
      <c r="AD262" t="n">
        <v>24770.42</v>
      </c>
    </row>
    <row r="263">
      <c r="A263">
        <f>HYPERLINK("../../data/MAR02_DYNAMIC/FEB25/OTM/NIFTY2630225650CE_strategy.csv", "NIFTY2630225650CE")</f>
        <v/>
      </c>
      <c r="B263" t="inlineStr">
        <is>
          <t>CE</t>
        </is>
      </c>
      <c r="C263" t="inlineStr">
        <is>
          <t>12:04:01</t>
        </is>
      </c>
      <c r="D263" t="inlineStr">
        <is>
          <t>12:21:00</t>
        </is>
      </c>
      <c r="E263" t="n">
        <v>130.6</v>
      </c>
      <c r="F263" t="n">
        <v>122.11</v>
      </c>
      <c r="G263" t="n">
        <v>94766.92999999999</v>
      </c>
      <c r="H263" t="n">
        <v>115700</v>
      </c>
      <c r="I263" t="n">
        <v>80990</v>
      </c>
      <c r="J263" t="inlineStr">
        <is>
          <t>EXECUTED</t>
        </is>
      </c>
      <c r="K263" t="n">
        <v>2.87</v>
      </c>
      <c r="L263" t="n">
        <v>-6.24</v>
      </c>
      <c r="M263">
        <f>HYPERLINK("../../data/MAR02_DYNAMIC/FEB25/OTM/NIFTY2630225650CE_strategy.html", "View")</f>
        <v/>
      </c>
      <c r="N263" t="inlineStr"/>
      <c r="O263" t="inlineStr"/>
      <c r="P263" t="inlineStr">
        <is>
          <t>NEUTRAL</t>
        </is>
      </c>
      <c r="Q263" t="inlineStr">
        <is>
          <t>INCLUDED</t>
        </is>
      </c>
      <c r="R263" t="n">
        <v>-6.5</v>
      </c>
      <c r="S263" t="inlineStr">
        <is>
          <t>Fixed Stop Loss</t>
        </is>
      </c>
      <c r="T263" t="n">
        <v>0.2863</v>
      </c>
      <c r="U263" t="inlineStr"/>
      <c r="V263" t="inlineStr">
        <is>
          <t>2026-02-25</t>
        </is>
      </c>
      <c r="W263" t="inlineStr">
        <is>
          <t>Between R1 and S1</t>
        </is>
      </c>
      <c r="X263" t="n">
        <v>25610.5</v>
      </c>
      <c r="Y263" t="n">
        <v>25763.52</v>
      </c>
      <c r="Z263" t="n">
        <v>25266.97</v>
      </c>
      <c r="AA263" t="n">
        <v>26072.68</v>
      </c>
      <c r="AB263" t="n">
        <v>25079.58</v>
      </c>
      <c r="AC263" t="n">
        <v>26260.07</v>
      </c>
      <c r="AD263" t="n">
        <v>24770.42</v>
      </c>
    </row>
    <row r="264">
      <c r="A264">
        <f>HYPERLINK("../../data/MAR02_DYNAMIC/FEB25/OTM/NIFTY2630225600PE_strategy.csv", "NIFTY2630225600PE")</f>
        <v/>
      </c>
      <c r="B264" t="inlineStr">
        <is>
          <t>PE</t>
        </is>
      </c>
      <c r="C264" t="inlineStr">
        <is>
          <t>11:54:01</t>
        </is>
      </c>
      <c r="D264" t="inlineStr">
        <is>
          <t>12:05:00</t>
        </is>
      </c>
      <c r="E264" t="n">
        <v>116.3</v>
      </c>
      <c r="F264" t="n">
        <v>116.06</v>
      </c>
      <c r="G264" t="n">
        <v>101355.01</v>
      </c>
      <c r="H264" t="n">
        <v>115700</v>
      </c>
      <c r="I264" t="n">
        <v>80990</v>
      </c>
      <c r="J264" t="inlineStr">
        <is>
          <t>EXECUTED</t>
        </is>
      </c>
      <c r="K264" t="n">
        <v>9.59</v>
      </c>
      <c r="L264" t="n">
        <v>-4.21</v>
      </c>
      <c r="M264">
        <f>HYPERLINK("../../data/MAR02_DYNAMIC/FEB25/OTM/NIFTY2630225600PE_strategy.html", "View")</f>
        <v/>
      </c>
      <c r="N264" t="inlineStr"/>
      <c r="O264" t="inlineStr"/>
      <c r="P264" t="inlineStr">
        <is>
          <t>NEUTRAL</t>
        </is>
      </c>
      <c r="Q264" t="inlineStr">
        <is>
          <t>INCLUDED</t>
        </is>
      </c>
      <c r="R264" t="n">
        <v>-0.21</v>
      </c>
      <c r="S264" t="inlineStr">
        <is>
          <t>SuperTrend Stop Loss Exit</t>
        </is>
      </c>
      <c r="T264" t="n">
        <v>0.4838</v>
      </c>
      <c r="U264" t="n">
        <v>0.6844</v>
      </c>
      <c r="V264" t="inlineStr">
        <is>
          <t>2026-02-25</t>
        </is>
      </c>
      <c r="W264" t="inlineStr">
        <is>
          <t>Between R1 and S1</t>
        </is>
      </c>
      <c r="X264" t="n">
        <v>25609.9</v>
      </c>
      <c r="Y264" t="n">
        <v>25763.52</v>
      </c>
      <c r="Z264" t="n">
        <v>25266.97</v>
      </c>
      <c r="AA264" t="n">
        <v>26072.68</v>
      </c>
      <c r="AB264" t="n">
        <v>25079.58</v>
      </c>
      <c r="AC264" t="n">
        <v>26260.07</v>
      </c>
      <c r="AD264" t="n">
        <v>24770.42</v>
      </c>
    </row>
    <row r="265">
      <c r="A265">
        <f>HYPERLINK("../../data/MAR02_DYNAMIC/FEB25/OTM/NIFTY2630225600CE_strategy.csv", "NIFTY2630225600CE")</f>
        <v/>
      </c>
      <c r="B265" t="inlineStr">
        <is>
          <t>CE</t>
        </is>
      </c>
      <c r="C265" t="inlineStr">
        <is>
          <t>11:46:01</t>
        </is>
      </c>
      <c r="D265" t="inlineStr">
        <is>
          <t>11:54:00</t>
        </is>
      </c>
      <c r="E265" t="n">
        <v>161.85</v>
      </c>
      <c r="F265" t="n">
        <v>156.34</v>
      </c>
      <c r="G265" t="n">
        <v>101568.3</v>
      </c>
      <c r="H265" t="n">
        <v>115700</v>
      </c>
      <c r="I265" t="n">
        <v>80990</v>
      </c>
      <c r="J265" t="inlineStr">
        <is>
          <t>EXECUTED</t>
        </is>
      </c>
      <c r="K265" t="n">
        <v>3.58</v>
      </c>
      <c r="L265" t="n">
        <v>-6.8</v>
      </c>
      <c r="M265">
        <f>HYPERLINK("../../data/MAR02_DYNAMIC/FEB25/OTM/NIFTY2630225600CE_strategy.html", "View")</f>
        <v/>
      </c>
      <c r="N265" t="inlineStr"/>
      <c r="O265" t="inlineStr"/>
      <c r="P265" t="inlineStr">
        <is>
          <t>NEUTRAL</t>
        </is>
      </c>
      <c r="Q265" t="inlineStr">
        <is>
          <t>INCLUDED</t>
        </is>
      </c>
      <c r="R265" t="n">
        <v>-3.4</v>
      </c>
      <c r="S265" t="inlineStr">
        <is>
          <t>SuperTrend Stop Loss Exit</t>
        </is>
      </c>
      <c r="T265" t="n">
        <v>0.5719</v>
      </c>
      <c r="U265" t="inlineStr"/>
      <c r="V265" t="inlineStr">
        <is>
          <t>2026-02-25</t>
        </is>
      </c>
      <c r="W265" t="inlineStr">
        <is>
          <t>Between R1 and S1</t>
        </is>
      </c>
      <c r="X265" t="n">
        <v>25610.05</v>
      </c>
      <c r="Y265" t="n">
        <v>25763.52</v>
      </c>
      <c r="Z265" t="n">
        <v>25266.97</v>
      </c>
      <c r="AA265" t="n">
        <v>26072.68</v>
      </c>
      <c r="AB265" t="n">
        <v>25079.58</v>
      </c>
      <c r="AC265" t="n">
        <v>26260.07</v>
      </c>
      <c r="AD265" t="n">
        <v>24770.42</v>
      </c>
    </row>
    <row r="266">
      <c r="A266">
        <f>HYPERLINK("../../data/MAR02_DYNAMIC/FEB25/OTM/NIFTY2630225650CE_strategy.csv", "NIFTY2630225650CE")</f>
        <v/>
      </c>
      <c r="B266" t="inlineStr">
        <is>
          <t>CE</t>
        </is>
      </c>
      <c r="C266" t="inlineStr">
        <is>
          <t>11:29:01</t>
        </is>
      </c>
      <c r="D266" t="inlineStr">
        <is>
          <t>11:40:00</t>
        </is>
      </c>
      <c r="E266" t="n">
        <v>134.4</v>
      </c>
      <c r="F266" t="n">
        <v>125.66</v>
      </c>
      <c r="G266" t="n">
        <v>105143.17</v>
      </c>
      <c r="H266" t="n">
        <v>115700</v>
      </c>
      <c r="I266" t="n">
        <v>80990</v>
      </c>
      <c r="J266" t="inlineStr">
        <is>
          <t>EXECUTED</t>
        </is>
      </c>
      <c r="K266" t="n">
        <v>1.12</v>
      </c>
      <c r="L266" t="n">
        <v>-4.8</v>
      </c>
      <c r="M266">
        <f>HYPERLINK("../../data/MAR02_DYNAMIC/FEB25/OTM/NIFTY2630225650CE_strategy.html", "View")</f>
        <v/>
      </c>
      <c r="N266" t="inlineStr"/>
      <c r="O266" t="inlineStr"/>
      <c r="P266" t="inlineStr">
        <is>
          <t>NEUTRAL</t>
        </is>
      </c>
      <c r="Q266" t="inlineStr">
        <is>
          <t>INCLUDED</t>
        </is>
      </c>
      <c r="R266" t="n">
        <v>-6.5</v>
      </c>
      <c r="S266" t="inlineStr">
        <is>
          <t>Fixed Stop Loss</t>
        </is>
      </c>
      <c r="T266" t="n">
        <v>0.4209</v>
      </c>
      <c r="U266" t="inlineStr"/>
      <c r="V266" t="inlineStr">
        <is>
          <t>2026-02-25</t>
        </is>
      </c>
      <c r="W266" t="inlineStr">
        <is>
          <t>Between R1 and S1</t>
        </is>
      </c>
      <c r="X266" t="n">
        <v>25614.75</v>
      </c>
      <c r="Y266" t="n">
        <v>25763.52</v>
      </c>
      <c r="Z266" t="n">
        <v>25266.97</v>
      </c>
      <c r="AA266" t="n">
        <v>26072.68</v>
      </c>
      <c r="AB266" t="n">
        <v>25079.58</v>
      </c>
      <c r="AC266" t="n">
        <v>26260.07</v>
      </c>
      <c r="AD266" t="n">
        <v>24770.42</v>
      </c>
    </row>
    <row r="267">
      <c r="A267">
        <f>HYPERLINK("../../data/MAR02_DYNAMIC/FEB25/OTM/NIFTY2630225650CE_strategy.csv", "NIFTY2630225650CE")</f>
        <v/>
      </c>
      <c r="B267" t="inlineStr">
        <is>
          <t>CE</t>
        </is>
      </c>
      <c r="C267" t="inlineStr">
        <is>
          <t>11:08:01</t>
        </is>
      </c>
      <c r="D267" t="inlineStr">
        <is>
          <t>11:14:00</t>
        </is>
      </c>
      <c r="E267" t="n">
        <v>144</v>
      </c>
      <c r="F267" t="n">
        <v>134.64</v>
      </c>
      <c r="G267" t="n">
        <v>108179.5</v>
      </c>
      <c r="H267" t="n">
        <v>115700</v>
      </c>
      <c r="I267" t="n">
        <v>80990</v>
      </c>
      <c r="J267" t="inlineStr">
        <is>
          <t>EXECUTED</t>
        </is>
      </c>
      <c r="K267" t="n">
        <v>1.53</v>
      </c>
      <c r="L267" t="n">
        <v>-5.66</v>
      </c>
      <c r="M267">
        <f>HYPERLINK("../../data/MAR02_DYNAMIC/FEB25/OTM/NIFTY2630225650CE_strategy.html", "View")</f>
        <v/>
      </c>
      <c r="N267" t="inlineStr"/>
      <c r="O267" t="inlineStr"/>
      <c r="P267" t="inlineStr">
        <is>
          <t>NEUTRAL</t>
        </is>
      </c>
      <c r="Q267" t="inlineStr">
        <is>
          <t>INCLUDED</t>
        </is>
      </c>
      <c r="R267" t="n">
        <v>-6.5</v>
      </c>
      <c r="S267" t="inlineStr">
        <is>
          <t>Fixed Stop Loss</t>
        </is>
      </c>
      <c r="T267" t="n">
        <v>0.499</v>
      </c>
      <c r="U267" t="inlineStr"/>
      <c r="V267" t="inlineStr">
        <is>
          <t>2026-02-25</t>
        </is>
      </c>
      <c r="W267" t="inlineStr">
        <is>
          <t>Between R1 and S1</t>
        </is>
      </c>
      <c r="X267" t="n">
        <v>25625.85</v>
      </c>
      <c r="Y267" t="n">
        <v>25763.52</v>
      </c>
      <c r="Z267" t="n">
        <v>25266.97</v>
      </c>
      <c r="AA267" t="n">
        <v>26072.68</v>
      </c>
      <c r="AB267" t="n">
        <v>25079.58</v>
      </c>
      <c r="AC267" t="n">
        <v>26260.07</v>
      </c>
      <c r="AD267" t="n">
        <v>24770.42</v>
      </c>
    </row>
    <row r="268">
      <c r="A268">
        <f>HYPERLINK("../../data/MAR02_DYNAMIC/FEB25/OTM/NIFTY2630225600PE_strategy.csv", "NIFTY2630225600PE")</f>
        <v/>
      </c>
      <c r="B268" t="inlineStr">
        <is>
          <t>PE</t>
        </is>
      </c>
      <c r="C268" t="inlineStr">
        <is>
          <t>10:39:01</t>
        </is>
      </c>
      <c r="D268" t="inlineStr">
        <is>
          <t>11:30:00</t>
        </is>
      </c>
      <c r="E268" t="n">
        <v>111.3</v>
      </c>
      <c r="F268" t="n">
        <v>115.7</v>
      </c>
      <c r="G268" t="n">
        <v>112452.59</v>
      </c>
      <c r="H268" t="n">
        <v>115700</v>
      </c>
      <c r="I268" t="n">
        <v>80990</v>
      </c>
      <c r="J268" t="inlineStr">
        <is>
          <t>EXECUTED</t>
        </is>
      </c>
      <c r="K268" t="n">
        <v>7.95</v>
      </c>
      <c r="L268" t="n">
        <v>-6.47</v>
      </c>
      <c r="M268">
        <f>HYPERLINK("../../data/MAR02_DYNAMIC/FEB25/OTM/NIFTY2630225600PE_strategy.html", "View")</f>
        <v/>
      </c>
      <c r="N268" t="inlineStr"/>
      <c r="O268" t="inlineStr"/>
      <c r="P268" t="inlineStr">
        <is>
          <t>NEUTRAL</t>
        </is>
      </c>
      <c r="Q268" t="inlineStr">
        <is>
          <t>INCLUDED</t>
        </is>
      </c>
      <c r="R268" t="n">
        <v>3.95</v>
      </c>
      <c r="S268" t="inlineStr">
        <is>
          <t>Dynamic Trailing MA (Fast/Slow MA)</t>
        </is>
      </c>
      <c r="T268" t="n">
        <v>0.4964</v>
      </c>
      <c r="U268" t="n">
        <v>0.6794</v>
      </c>
      <c r="V268" t="inlineStr">
        <is>
          <t>2026-02-25</t>
        </is>
      </c>
      <c r="W268" t="inlineStr">
        <is>
          <t>Between R1 and S1</t>
        </is>
      </c>
      <c r="X268" t="n">
        <v>25630.91</v>
      </c>
      <c r="Y268" t="n">
        <v>25763.52</v>
      </c>
      <c r="Z268" t="n">
        <v>25266.97</v>
      </c>
      <c r="AA268" t="n">
        <v>26072.68</v>
      </c>
      <c r="AB268" t="n">
        <v>25079.58</v>
      </c>
      <c r="AC268" t="n">
        <v>26260.07</v>
      </c>
      <c r="AD268" t="n">
        <v>24770.42</v>
      </c>
    </row>
    <row r="269">
      <c r="A269">
        <f>HYPERLINK("../../data/MAR02_DYNAMIC/FEB25/OTM/NIFTY2630225600CE_strategy.csv", "NIFTY2630225600CE")</f>
        <v/>
      </c>
      <c r="B269" t="inlineStr">
        <is>
          <t>CE</t>
        </is>
      </c>
      <c r="C269" t="inlineStr">
        <is>
          <t>09:58:01</t>
        </is>
      </c>
      <c r="D269" t="inlineStr">
        <is>
          <t>10:28:00</t>
        </is>
      </c>
      <c r="E269" t="n">
        <v>160.2</v>
      </c>
      <c r="F269" t="n">
        <v>185.35</v>
      </c>
      <c r="G269" t="n">
        <v>115700</v>
      </c>
      <c r="H269" t="n">
        <v>115700</v>
      </c>
      <c r="I269" t="n">
        <v>80990</v>
      </c>
      <c r="J269" t="inlineStr">
        <is>
          <t>EXECUTED</t>
        </is>
      </c>
      <c r="K269" t="n">
        <v>25.47</v>
      </c>
      <c r="L269" t="n">
        <v>-12.73</v>
      </c>
      <c r="M269">
        <f>HYPERLINK("../../data/MAR02_DYNAMIC/FEB25/OTM/NIFTY2630225600CE_strategy.html", "View")</f>
        <v/>
      </c>
      <c r="N269" t="inlineStr"/>
      <c r="O269" t="inlineStr"/>
      <c r="P269" t="inlineStr">
        <is>
          <t>NEUTRAL</t>
        </is>
      </c>
      <c r="Q269" t="inlineStr">
        <is>
          <t>INCLUDED</t>
        </is>
      </c>
      <c r="R269" t="n">
        <v>15.7</v>
      </c>
      <c r="S269" t="inlineStr">
        <is>
          <t>Dynamic Trailing MA (Fast/Slow MA)</t>
        </is>
      </c>
      <c r="T269" t="n">
        <v>0.6634</v>
      </c>
      <c r="U269" t="n">
        <v>0.6902</v>
      </c>
      <c r="V269" t="inlineStr">
        <is>
          <t>2026-02-25</t>
        </is>
      </c>
      <c r="W269" t="inlineStr">
        <is>
          <t>Between R1 and S1</t>
        </is>
      </c>
      <c r="X269" t="n">
        <v>25598.55</v>
      </c>
      <c r="Y269" t="n">
        <v>25763.52</v>
      </c>
      <c r="Z269" t="n">
        <v>25266.97</v>
      </c>
      <c r="AA269" t="n">
        <v>26072.68</v>
      </c>
      <c r="AB269" t="n">
        <v>25079.58</v>
      </c>
      <c r="AC269" t="n">
        <v>26260.07</v>
      </c>
      <c r="AD269" t="n">
        <v>24770.42</v>
      </c>
    </row>
    <row r="270">
      <c r="A270">
        <f>HYPERLINK("../../data/MAR02_DYNAMIC/FEB26/OTM/NIFTY2630225400PE_strategy.csv", "NIFTY2630225400PE")</f>
        <v/>
      </c>
      <c r="B270" t="inlineStr">
        <is>
          <t>PE</t>
        </is>
      </c>
      <c r="C270" t="inlineStr">
        <is>
          <t>13:48:01</t>
        </is>
      </c>
      <c r="D270" t="inlineStr">
        <is>
          <t>13:52:00</t>
        </is>
      </c>
      <c r="E270" t="n">
        <v>112.35</v>
      </c>
      <c r="F270" t="n">
        <v>103.36</v>
      </c>
      <c r="G270" t="n">
        <v>97932.53999999999</v>
      </c>
      <c r="H270" t="n">
        <v>141217.25</v>
      </c>
      <c r="I270" t="n">
        <v>98852.07000000001</v>
      </c>
      <c r="J270" t="inlineStr">
        <is>
          <t>EXECUTED</t>
        </is>
      </c>
      <c r="K270" t="n">
        <v>2.14</v>
      </c>
      <c r="L270" t="n">
        <v>-8.01</v>
      </c>
      <c r="M270">
        <f>HYPERLINK("../../data/MAR02_DYNAMIC/FEB26/OTM/NIFTY2630225400PE_strategy.html", "View")</f>
        <v/>
      </c>
      <c r="N270" t="inlineStr"/>
      <c r="O270" t="inlineStr"/>
      <c r="P270" t="inlineStr">
        <is>
          <t>BEARISH</t>
        </is>
      </c>
      <c r="Q270" t="inlineStr">
        <is>
          <t>INCLUDED (HYBRID_v5_BEARISH_PE)</t>
        </is>
      </c>
      <c r="R270" t="n">
        <v>-8</v>
      </c>
      <c r="S270" t="inlineStr">
        <is>
          <t>Fixed Stop Loss</t>
        </is>
      </c>
      <c r="T270" t="n">
        <v>0.501</v>
      </c>
      <c r="U270" t="inlineStr"/>
      <c r="V270" t="inlineStr">
        <is>
          <t>2026-02-26</t>
        </is>
      </c>
      <c r="W270" t="inlineStr">
        <is>
          <t>Between R1 and S1</t>
        </is>
      </c>
      <c r="X270" t="n">
        <v>25422.55</v>
      </c>
      <c r="Y270" t="n">
        <v>25763.52</v>
      </c>
      <c r="Z270" t="n">
        <v>25266.97</v>
      </c>
      <c r="AA270" t="n">
        <v>26072.68</v>
      </c>
      <c r="AB270" t="n">
        <v>25079.58</v>
      </c>
      <c r="AC270" t="n">
        <v>26260.07</v>
      </c>
      <c r="AD270" t="n">
        <v>24770.42</v>
      </c>
    </row>
    <row r="271">
      <c r="A271">
        <f>HYPERLINK("../../data/MAR02_DYNAMIC/FEB26/OTM/NIFTY2630225400PE_strategy.csv", "NIFTY2630225400PE")</f>
        <v/>
      </c>
      <c r="B271" t="inlineStr">
        <is>
          <t>PE</t>
        </is>
      </c>
      <c r="C271" t="inlineStr">
        <is>
          <t>13:12:01</t>
        </is>
      </c>
      <c r="D271" t="inlineStr">
        <is>
          <t>13:26:00</t>
        </is>
      </c>
      <c r="E271" t="n">
        <v>109.85</v>
      </c>
      <c r="F271" t="n">
        <v>106.38</v>
      </c>
      <c r="G271" t="n">
        <v>106448.41</v>
      </c>
      <c r="H271" t="n">
        <v>141217.25</v>
      </c>
      <c r="I271" t="n">
        <v>98852.07000000001</v>
      </c>
      <c r="J271" t="inlineStr">
        <is>
          <t>EXECUTED</t>
        </is>
      </c>
      <c r="K271" t="n">
        <v>13.15</v>
      </c>
      <c r="L271" t="n">
        <v>-8.15</v>
      </c>
      <c r="M271">
        <f>HYPERLINK("../../data/MAR02_DYNAMIC/FEB26/OTM/NIFTY2630225400PE_strategy.html", "View")</f>
        <v/>
      </c>
      <c r="N271" t="inlineStr"/>
      <c r="O271" t="inlineStr"/>
      <c r="P271" t="inlineStr">
        <is>
          <t>BEARISH</t>
        </is>
      </c>
      <c r="Q271" t="inlineStr">
        <is>
          <t>INCLUDED (HYBRID_v5_BEARISH_PE)</t>
        </is>
      </c>
      <c r="R271" t="n">
        <v>-3.16</v>
      </c>
      <c r="S271" t="inlineStr">
        <is>
          <t>SuperTrend Stop Loss Exit</t>
        </is>
      </c>
      <c r="T271" t="n">
        <v>0.5377999999999999</v>
      </c>
      <c r="U271" t="n">
        <v>0.7984</v>
      </c>
      <c r="V271" t="inlineStr">
        <is>
          <t>2026-02-26</t>
        </is>
      </c>
      <c r="W271" t="inlineStr">
        <is>
          <t>Between R1 and S1</t>
        </is>
      </c>
      <c r="X271" t="n">
        <v>25432.39</v>
      </c>
      <c r="Y271" t="n">
        <v>25763.52</v>
      </c>
      <c r="Z271" t="n">
        <v>25266.97</v>
      </c>
      <c r="AA271" t="n">
        <v>26072.68</v>
      </c>
      <c r="AB271" t="n">
        <v>25079.58</v>
      </c>
      <c r="AC271" t="n">
        <v>26260.07</v>
      </c>
      <c r="AD271" t="n">
        <v>24770.42</v>
      </c>
    </row>
    <row r="272">
      <c r="A272">
        <f>HYPERLINK("../../data/MAR02_DYNAMIC/FEB26/OTM/NIFTY2630225400PE_strategy.csv", "NIFTY2630225400PE")</f>
        <v/>
      </c>
      <c r="B272" t="inlineStr">
        <is>
          <t>PE</t>
        </is>
      </c>
      <c r="C272" t="inlineStr">
        <is>
          <t>12:55:01</t>
        </is>
      </c>
      <c r="D272" t="inlineStr">
        <is>
          <t>13:04:00</t>
        </is>
      </c>
      <c r="E272" t="n">
        <v>105.55</v>
      </c>
      <c r="F272" t="n">
        <v>102.15</v>
      </c>
      <c r="G272" t="n">
        <v>109921.95</v>
      </c>
      <c r="H272" t="n">
        <v>141217.25</v>
      </c>
      <c r="I272" t="n">
        <v>98852.07000000001</v>
      </c>
      <c r="J272" t="inlineStr">
        <is>
          <t>EXECUTED</t>
        </is>
      </c>
      <c r="K272" t="n">
        <v>9.43</v>
      </c>
      <c r="L272" t="n">
        <v>-4.88</v>
      </c>
      <c r="M272">
        <f>HYPERLINK("../../data/MAR02_DYNAMIC/FEB26/OTM/NIFTY2630225400PE_strategy.html", "View")</f>
        <v/>
      </c>
      <c r="N272" t="inlineStr"/>
      <c r="O272" t="inlineStr"/>
      <c r="P272" t="inlineStr">
        <is>
          <t>BEARISH</t>
        </is>
      </c>
      <c r="Q272" t="inlineStr">
        <is>
          <t>INCLUDED (HYBRID_v5_BEARISH_PE)</t>
        </is>
      </c>
      <c r="R272" t="n">
        <v>-3.22</v>
      </c>
      <c r="S272" t="inlineStr">
        <is>
          <t>SuperTrend Stop Loss Exit</t>
        </is>
      </c>
      <c r="T272" t="n">
        <v>0.7442</v>
      </c>
      <c r="U272" t="n">
        <v>0.7995</v>
      </c>
      <c r="V272" t="inlineStr">
        <is>
          <t>2026-02-26</t>
        </is>
      </c>
      <c r="W272" t="inlineStr">
        <is>
          <t>Between R1 and S1</t>
        </is>
      </c>
      <c r="X272" t="n">
        <v>25427.25</v>
      </c>
      <c r="Y272" t="n">
        <v>25763.52</v>
      </c>
      <c r="Z272" t="n">
        <v>25266.97</v>
      </c>
      <c r="AA272" t="n">
        <v>26072.68</v>
      </c>
      <c r="AB272" t="n">
        <v>25079.58</v>
      </c>
      <c r="AC272" t="n">
        <v>26260.07</v>
      </c>
      <c r="AD272" t="n">
        <v>24770.42</v>
      </c>
    </row>
    <row r="273">
      <c r="A273">
        <f>HYPERLINK("../../data/MAR02_DYNAMIC/FEB26/OTM/NIFTY2630225450CE_strategy.csv", "NIFTY2630225450CE")</f>
        <v/>
      </c>
      <c r="B273" t="inlineStr">
        <is>
          <t>CE</t>
        </is>
      </c>
      <c r="C273" t="inlineStr">
        <is>
          <t>12:38:01</t>
        </is>
      </c>
      <c r="D273" t="inlineStr">
        <is>
          <t>12:59:00</t>
        </is>
      </c>
      <c r="E273" t="n">
        <v>130.05</v>
      </c>
      <c r="F273" t="n">
        <v>121.6</v>
      </c>
      <c r="G273" t="n">
        <v>113579.2</v>
      </c>
      <c r="H273" t="n">
        <v>141217.25</v>
      </c>
      <c r="I273" t="n">
        <v>98852.07000000001</v>
      </c>
      <c r="J273" t="inlineStr">
        <is>
          <t>EXECUTED</t>
        </is>
      </c>
      <c r="K273" t="n">
        <v>4.46</v>
      </c>
      <c r="L273" t="n">
        <v>-6.34</v>
      </c>
      <c r="M273">
        <f>HYPERLINK("../../data/MAR02_DYNAMIC/FEB26/OTM/NIFTY2630225450CE_strategy.html", "View")</f>
        <v/>
      </c>
      <c r="N273" t="inlineStr"/>
      <c r="O273" t="inlineStr"/>
      <c r="P273" t="inlineStr">
        <is>
          <t>NEUTRAL</t>
        </is>
      </c>
      <c r="Q273" t="inlineStr">
        <is>
          <t>INCLUDED</t>
        </is>
      </c>
      <c r="R273" t="n">
        <v>-6.5</v>
      </c>
      <c r="S273" t="inlineStr">
        <is>
          <t>Fixed Stop Loss</t>
        </is>
      </c>
      <c r="T273" t="n">
        <v>0.5813</v>
      </c>
      <c r="U273" t="inlineStr"/>
      <c r="V273" t="inlineStr">
        <is>
          <t>2026-02-26</t>
        </is>
      </c>
      <c r="W273" t="inlineStr">
        <is>
          <t>Between R1 and S1</t>
        </is>
      </c>
      <c r="X273" t="n">
        <v>25445.39</v>
      </c>
      <c r="Y273" t="n">
        <v>25763.52</v>
      </c>
      <c r="Z273" t="n">
        <v>25266.97</v>
      </c>
      <c r="AA273" t="n">
        <v>26072.68</v>
      </c>
      <c r="AB273" t="n">
        <v>25079.58</v>
      </c>
      <c r="AC273" t="n">
        <v>26260.07</v>
      </c>
      <c r="AD273" t="n">
        <v>24770.42</v>
      </c>
    </row>
    <row r="274">
      <c r="A274">
        <f>HYPERLINK("../../data/MAR02_DYNAMIC/FEB26/OTM/NIFTY2630225450CE_strategy.csv", "NIFTY2630225450CE")</f>
        <v/>
      </c>
      <c r="B274" t="inlineStr">
        <is>
          <t>CE</t>
        </is>
      </c>
      <c r="C274" t="inlineStr">
        <is>
          <t>12:26:01</t>
        </is>
      </c>
      <c r="D274" t="inlineStr">
        <is>
          <t>12:33:00</t>
        </is>
      </c>
      <c r="E274" t="n">
        <v>130.85</v>
      </c>
      <c r="F274" t="n">
        <v>122.34</v>
      </c>
      <c r="G274" t="n">
        <v>121475.08</v>
      </c>
      <c r="H274" t="n">
        <v>141217.25</v>
      </c>
      <c r="I274" t="n">
        <v>98852.07000000001</v>
      </c>
      <c r="J274" t="inlineStr">
        <is>
          <t>EXECUTED</t>
        </is>
      </c>
      <c r="K274" t="n">
        <v>0.27</v>
      </c>
      <c r="L274" t="n">
        <v>-8.369999999999999</v>
      </c>
      <c r="M274">
        <f>HYPERLINK("../../data/MAR02_DYNAMIC/FEB26/OTM/NIFTY2630225450CE_strategy.html", "View")</f>
        <v/>
      </c>
      <c r="N274" t="inlineStr"/>
      <c r="O274" t="inlineStr"/>
      <c r="P274" t="inlineStr">
        <is>
          <t>NEUTRAL</t>
        </is>
      </c>
      <c r="Q274" t="inlineStr">
        <is>
          <t>INCLUDED</t>
        </is>
      </c>
      <c r="R274" t="n">
        <v>-6.5</v>
      </c>
      <c r="S274" t="inlineStr">
        <is>
          <t>Fixed Stop Loss</t>
        </is>
      </c>
      <c r="T274" t="n">
        <v>0.3228</v>
      </c>
      <c r="U274" t="inlineStr"/>
      <c r="V274" t="inlineStr">
        <is>
          <t>2026-02-26</t>
        </is>
      </c>
      <c r="W274" t="inlineStr">
        <is>
          <t>Between R1 and S1</t>
        </is>
      </c>
      <c r="X274" t="n">
        <v>25439.36</v>
      </c>
      <c r="Y274" t="n">
        <v>25763.52</v>
      </c>
      <c r="Z274" t="n">
        <v>25266.97</v>
      </c>
      <c r="AA274" t="n">
        <v>26072.68</v>
      </c>
      <c r="AB274" t="n">
        <v>25079.58</v>
      </c>
      <c r="AC274" t="n">
        <v>26260.07</v>
      </c>
      <c r="AD274" t="n">
        <v>24770.42</v>
      </c>
    </row>
    <row r="275">
      <c r="A275">
        <f>HYPERLINK("../../data/MAR02_DYNAMIC/FEB26/OTM/NIFTY2630225500CE_strategy.csv", "NIFTY2630225500CE")</f>
        <v/>
      </c>
      <c r="B275" t="inlineStr">
        <is>
          <t>CE</t>
        </is>
      </c>
      <c r="C275" t="inlineStr">
        <is>
          <t>12:09:01</t>
        </is>
      </c>
      <c r="D275" t="inlineStr">
        <is>
          <t>12:20:00</t>
        </is>
      </c>
      <c r="E275" t="n">
        <v>119.8</v>
      </c>
      <c r="F275" t="n">
        <v>110.22</v>
      </c>
      <c r="G275" t="n">
        <v>129919.87</v>
      </c>
      <c r="H275" t="n">
        <v>141217.25</v>
      </c>
      <c r="I275" t="n">
        <v>98852.07000000001</v>
      </c>
      <c r="J275" t="inlineStr">
        <is>
          <t>EXECUTED</t>
        </is>
      </c>
      <c r="K275" t="n">
        <v>0.08</v>
      </c>
      <c r="L275" t="n">
        <v>-3.8</v>
      </c>
      <c r="M275">
        <f>HYPERLINK("../../data/MAR02_DYNAMIC/FEB26/OTM/NIFTY2630225500CE_strategy.html", "View")</f>
        <v/>
      </c>
      <c r="N275" t="inlineStr"/>
      <c r="O275" t="inlineStr"/>
      <c r="P275" t="inlineStr">
        <is>
          <t>BULLISH</t>
        </is>
      </c>
      <c r="Q275" t="inlineStr">
        <is>
          <t>INCLUDED (HYBRID_v5_BULLISH_CE)</t>
        </is>
      </c>
      <c r="R275" t="n">
        <v>-8</v>
      </c>
      <c r="S275" t="inlineStr">
        <is>
          <t>Fixed Stop Loss</t>
        </is>
      </c>
      <c r="T275" t="n">
        <v>0.4195</v>
      </c>
      <c r="U275" t="inlineStr"/>
      <c r="V275" t="inlineStr">
        <is>
          <t>2026-02-26</t>
        </is>
      </c>
      <c r="W275" t="inlineStr">
        <is>
          <t>Between R1 and S1</t>
        </is>
      </c>
      <c r="X275" t="n">
        <v>25473.58</v>
      </c>
      <c r="Y275" t="n">
        <v>25763.52</v>
      </c>
      <c r="Z275" t="n">
        <v>25266.97</v>
      </c>
      <c r="AA275" t="n">
        <v>26072.68</v>
      </c>
      <c r="AB275" t="n">
        <v>25079.58</v>
      </c>
      <c r="AC275" t="n">
        <v>26260.07</v>
      </c>
      <c r="AD275" t="n">
        <v>24770.42</v>
      </c>
    </row>
    <row r="276">
      <c r="A276">
        <f>HYPERLINK("../../data/MAR02_DYNAMIC/FEB26/OTM/NIFTY2630225500PE_strategy.csv", "NIFTY2630225500PE")</f>
        <v/>
      </c>
      <c r="B276" t="inlineStr">
        <is>
          <t>PE</t>
        </is>
      </c>
      <c r="C276" t="inlineStr">
        <is>
          <t>11:31:01</t>
        </is>
      </c>
      <c r="D276" t="inlineStr">
        <is>
          <t>11:56:00</t>
        </is>
      </c>
      <c r="E276" t="n">
        <v>97</v>
      </c>
      <c r="F276" t="n">
        <v>136.95</v>
      </c>
      <c r="G276" t="n">
        <v>141217.25</v>
      </c>
      <c r="H276" t="n">
        <v>141217.25</v>
      </c>
      <c r="I276" t="n">
        <v>98852.07000000001</v>
      </c>
      <c r="J276" t="inlineStr">
        <is>
          <t>EXECUTED</t>
        </is>
      </c>
      <c r="K276" t="n">
        <v>49.02</v>
      </c>
      <c r="L276" t="n">
        <v>-15.26</v>
      </c>
      <c r="M276">
        <f>HYPERLINK("../../data/MAR02_DYNAMIC/FEB26/OTM/NIFTY2630225500PE_strategy.html", "View")</f>
        <v/>
      </c>
      <c r="N276" t="inlineStr"/>
      <c r="O276" t="inlineStr"/>
      <c r="P276" t="inlineStr">
        <is>
          <t>BEARISH</t>
        </is>
      </c>
      <c r="Q276" t="inlineStr">
        <is>
          <t>INCLUDED (HYBRID_v5_BEARISH_PE)</t>
        </is>
      </c>
      <c r="R276" t="n">
        <v>41.19</v>
      </c>
      <c r="S276" t="inlineStr">
        <is>
          <t>Dynamic Trailing MA (Fast/Slow MA)</t>
        </is>
      </c>
      <c r="T276" t="n">
        <v>0.4333</v>
      </c>
      <c r="U276" t="n">
        <v>0.6173</v>
      </c>
      <c r="V276" t="inlineStr">
        <is>
          <t>2026-02-26</t>
        </is>
      </c>
      <c r="W276" t="inlineStr">
        <is>
          <t>Between R1 and S1</t>
        </is>
      </c>
      <c r="X276" t="n">
        <v>25528.14</v>
      </c>
      <c r="Y276" t="n">
        <v>25763.52</v>
      </c>
      <c r="Z276" t="n">
        <v>25266.97</v>
      </c>
      <c r="AA276" t="n">
        <v>26072.68</v>
      </c>
      <c r="AB276" t="n">
        <v>25079.58</v>
      </c>
      <c r="AC276" t="n">
        <v>26260.07</v>
      </c>
      <c r="AD276" t="n">
        <v>24770.42</v>
      </c>
    </row>
    <row r="277">
      <c r="A277">
        <f>HYPERLINK("../../data/MAR02_DYNAMIC/FEB26/OTM/NIFTY2630225550CE_strategy.csv", "NIFTY2630225550CE")</f>
        <v/>
      </c>
      <c r="B277" t="inlineStr">
        <is>
          <t>CE</t>
        </is>
      </c>
      <c r="C277" t="inlineStr">
        <is>
          <t>11:05:01</t>
        </is>
      </c>
      <c r="D277" t="inlineStr">
        <is>
          <t>11:28:00</t>
        </is>
      </c>
      <c r="E277" t="n">
        <v>115.9</v>
      </c>
      <c r="F277" t="n">
        <v>130.94</v>
      </c>
      <c r="G277" t="n">
        <v>100019.3</v>
      </c>
      <c r="H277" t="n">
        <v>100019.3</v>
      </c>
      <c r="I277" t="n">
        <v>70013.50999999999</v>
      </c>
      <c r="J277" t="inlineStr">
        <is>
          <t>EXECUTED</t>
        </is>
      </c>
      <c r="K277" t="n">
        <v>27.87</v>
      </c>
      <c r="L277" t="n">
        <v>-9.66</v>
      </c>
      <c r="M277">
        <f>HYPERLINK("../../data/MAR02_DYNAMIC/FEB26/OTM/NIFTY2630225550CE_strategy.html", "View")</f>
        <v/>
      </c>
      <c r="N277" t="inlineStr"/>
      <c r="O277" t="inlineStr"/>
      <c r="P277" t="inlineStr">
        <is>
          <t>NEUTRAL</t>
        </is>
      </c>
      <c r="Q277" t="inlineStr">
        <is>
          <t>INCLUDED</t>
        </is>
      </c>
      <c r="R277" t="n">
        <v>12.98</v>
      </c>
      <c r="S277" t="inlineStr">
        <is>
          <t>SuperTrend Stop Loss Exit</t>
        </is>
      </c>
      <c r="T277" t="n">
        <v>0.2763</v>
      </c>
      <c r="U277" t="n">
        <v>0.6379</v>
      </c>
      <c r="V277" t="inlineStr">
        <is>
          <t>2026-02-26</t>
        </is>
      </c>
      <c r="W277" t="inlineStr">
        <is>
          <t>Between R1 and S1</t>
        </is>
      </c>
      <c r="X277" t="n">
        <v>25518.47</v>
      </c>
      <c r="Y277" t="n">
        <v>25763.52</v>
      </c>
      <c r="Z277" t="n">
        <v>25266.97</v>
      </c>
      <c r="AA277" t="n">
        <v>26072.68</v>
      </c>
      <c r="AB277" t="n">
        <v>25079.58</v>
      </c>
      <c r="AC277" t="n">
        <v>26260.07</v>
      </c>
      <c r="AD277" t="n">
        <v>24770.42</v>
      </c>
    </row>
    <row r="278">
      <c r="A278">
        <f>HYPERLINK("../../data/MAR02_DYNAMIC/FEB26/OTM/NIFTY2630225550CE_strategy.csv", "NIFTY2630225550CE")</f>
        <v/>
      </c>
      <c r="B278" t="inlineStr">
        <is>
          <t>CE</t>
        </is>
      </c>
      <c r="C278" t="inlineStr">
        <is>
          <t>10:43:01</t>
        </is>
      </c>
      <c r="D278" t="inlineStr">
        <is>
          <t>10:55:00</t>
        </is>
      </c>
      <c r="E278" t="n">
        <v>127.6</v>
      </c>
      <c r="F278" t="n">
        <v>119.31</v>
      </c>
      <c r="G278" t="n">
        <v>88528.32000000001</v>
      </c>
      <c r="H278" t="n">
        <v>100000</v>
      </c>
      <c r="I278" t="n">
        <v>70000</v>
      </c>
      <c r="J278" t="inlineStr">
        <is>
          <t>EXECUTED</t>
        </is>
      </c>
      <c r="K278" t="n">
        <v>6.5</v>
      </c>
      <c r="L278" t="n">
        <v>-5.45</v>
      </c>
      <c r="M278">
        <f>HYPERLINK("../../data/MAR02_DYNAMIC/FEB26/OTM/NIFTY2630225550CE_strategy.html", "View")</f>
        <v/>
      </c>
      <c r="N278" t="inlineStr"/>
      <c r="O278" t="inlineStr"/>
      <c r="P278" t="inlineStr">
        <is>
          <t>BULLISH</t>
        </is>
      </c>
      <c r="Q278" t="inlineStr">
        <is>
          <t>INCLUDED (HYBRID_v5_BULLISH_CE)</t>
        </is>
      </c>
      <c r="R278" t="n">
        <v>-6.5</v>
      </c>
      <c r="S278" t="inlineStr">
        <is>
          <t>Fixed Stop Loss</t>
        </is>
      </c>
      <c r="T278" t="n">
        <v>0.6081</v>
      </c>
      <c r="U278" t="inlineStr"/>
      <c r="V278" t="inlineStr">
        <is>
          <t>2026-02-26</t>
        </is>
      </c>
      <c r="W278" t="inlineStr">
        <is>
          <t>Between R1 and S1</t>
        </is>
      </c>
      <c r="X278" t="n">
        <v>25535.14</v>
      </c>
      <c r="Y278" t="n">
        <v>25763.52</v>
      </c>
      <c r="Z278" t="n">
        <v>25266.97</v>
      </c>
      <c r="AA278" t="n">
        <v>26072.68</v>
      </c>
      <c r="AB278" t="n">
        <v>25079.58</v>
      </c>
      <c r="AC278" t="n">
        <v>26260.07</v>
      </c>
      <c r="AD278" t="n">
        <v>24770.42</v>
      </c>
    </row>
    <row r="279">
      <c r="A279">
        <f>HYPERLINK("../../data/MAR02_DYNAMIC/FEB26/OTM/NIFTY2630225550CE_strategy.csv", "NIFTY2630225550CE")</f>
        <v/>
      </c>
      <c r="B279" t="inlineStr">
        <is>
          <t>CE</t>
        </is>
      </c>
      <c r="C279" t="inlineStr">
        <is>
          <t>10:04:01</t>
        </is>
      </c>
      <c r="D279" t="inlineStr">
        <is>
          <t>10:20:00</t>
        </is>
      </c>
      <c r="E279" t="n">
        <v>129.45</v>
      </c>
      <c r="F279" t="n">
        <v>145.2</v>
      </c>
      <c r="G279" t="n">
        <v>94682.7</v>
      </c>
      <c r="H279" t="n">
        <v>100000</v>
      </c>
      <c r="I279" t="n">
        <v>70000</v>
      </c>
      <c r="J279" t="inlineStr">
        <is>
          <t>EXECUTED</t>
        </is>
      </c>
      <c r="K279" t="n">
        <v>22.05</v>
      </c>
      <c r="L279" t="n">
        <v>-11.63</v>
      </c>
      <c r="M279">
        <f>HYPERLINK("../../data/MAR02_DYNAMIC/FEB26/OTM/NIFTY2630225550CE_strategy.html", "View")</f>
        <v/>
      </c>
      <c r="N279" t="inlineStr"/>
      <c r="O279" t="inlineStr"/>
      <c r="P279" t="inlineStr">
        <is>
          <t>BULLISH</t>
        </is>
      </c>
      <c r="Q279" t="inlineStr">
        <is>
          <t>INCLUDED (HYBRID_v5_BULLISH_CE)</t>
        </is>
      </c>
      <c r="R279" t="n">
        <v>12.17</v>
      </c>
      <c r="S279" t="inlineStr">
        <is>
          <t>Dynamic Trailing MA (Fast/Slow MA)</t>
        </is>
      </c>
      <c r="T279" t="n">
        <v>0.349</v>
      </c>
      <c r="U279" t="n">
        <v>0.4346</v>
      </c>
      <c r="V279" t="inlineStr">
        <is>
          <t>2026-02-26</t>
        </is>
      </c>
      <c r="W279" t="inlineStr">
        <is>
          <t>Between R1 and S1</t>
        </is>
      </c>
      <c r="X279" t="n">
        <v>25540.36</v>
      </c>
      <c r="Y279" t="n">
        <v>25763.52</v>
      </c>
      <c r="Z279" t="n">
        <v>25266.97</v>
      </c>
      <c r="AA279" t="n">
        <v>26072.68</v>
      </c>
      <c r="AB279" t="n">
        <v>25079.58</v>
      </c>
      <c r="AC279" t="n">
        <v>26260.07</v>
      </c>
      <c r="AD279" t="n">
        <v>24770.42</v>
      </c>
    </row>
    <row r="280">
      <c r="A280">
        <f>HYPERLINK("../../data/MAR02_DYNAMIC/FEB26/OTM/NIFTY2630225500PE_strategy.csv", "NIFTY2630225500PE")</f>
        <v/>
      </c>
      <c r="B280" t="inlineStr">
        <is>
          <t>PE</t>
        </is>
      </c>
      <c r="C280" t="inlineStr">
        <is>
          <t>09:55:01</t>
        </is>
      </c>
      <c r="D280" t="inlineStr">
        <is>
          <t>10:01:00</t>
        </is>
      </c>
      <c r="E280" t="n">
        <v>117.05</v>
      </c>
      <c r="F280" t="n">
        <v>107.69</v>
      </c>
      <c r="G280" t="n">
        <v>84410</v>
      </c>
      <c r="H280" t="n">
        <v>100000</v>
      </c>
      <c r="I280" t="n">
        <v>70000</v>
      </c>
      <c r="J280" t="inlineStr">
        <is>
          <t>EXECUTED</t>
        </is>
      </c>
      <c r="K280" t="n">
        <v>3.84</v>
      </c>
      <c r="L280" t="n">
        <v>-21.61</v>
      </c>
      <c r="M280">
        <f>HYPERLINK("../../data/MAR02_DYNAMIC/FEB26/OTM/NIFTY2630225500PE_strategy.html", "View")</f>
        <v/>
      </c>
      <c r="N280" t="inlineStr"/>
      <c r="O280" t="inlineStr"/>
      <c r="P280" t="inlineStr">
        <is>
          <t>NEUTRAL</t>
        </is>
      </c>
      <c r="Q280" t="inlineStr">
        <is>
          <t>INCLUDED</t>
        </is>
      </c>
      <c r="R280" t="n">
        <v>-8</v>
      </c>
      <c r="S280" t="inlineStr">
        <is>
          <t>Fixed SL Exit</t>
        </is>
      </c>
      <c r="T280" t="n">
        <v>0.7644</v>
      </c>
      <c r="U280" t="inlineStr"/>
      <c r="V280" t="inlineStr">
        <is>
          <t>2026-02-26</t>
        </is>
      </c>
      <c r="W280" t="inlineStr">
        <is>
          <t>Between R1 and S1</t>
        </is>
      </c>
      <c r="X280" t="n">
        <v>25508.28</v>
      </c>
      <c r="Y280" t="n">
        <v>25763.52</v>
      </c>
      <c r="Z280" t="n">
        <v>25266.97</v>
      </c>
      <c r="AA280" t="n">
        <v>26072.68</v>
      </c>
      <c r="AB280" t="n">
        <v>25079.58</v>
      </c>
      <c r="AC280" t="n">
        <v>26260.07</v>
      </c>
      <c r="AD280" t="n">
        <v>24770.42</v>
      </c>
    </row>
    <row r="281">
      <c r="A281">
        <f>HYPERLINK("../../data/MAR02_DYNAMIC/FEB26/OTM/NIFTY2630225500PE_strategy.csv", "NIFTY2630225500PE")</f>
        <v/>
      </c>
      <c r="B281" t="inlineStr">
        <is>
          <t>PE</t>
        </is>
      </c>
      <c r="C281" t="inlineStr">
        <is>
          <t>09:22:01</t>
        </is>
      </c>
      <c r="D281" t="inlineStr">
        <is>
          <t>09:36:00</t>
        </is>
      </c>
      <c r="E281" t="n">
        <v>118.8</v>
      </c>
      <c r="F281" t="n">
        <v>109</v>
      </c>
      <c r="G281" t="n">
        <v>91750</v>
      </c>
      <c r="H281" t="n">
        <v>100000</v>
      </c>
      <c r="I281" t="n">
        <v>70000</v>
      </c>
      <c r="J281" t="inlineStr">
        <is>
          <t>EXECUTED</t>
        </is>
      </c>
      <c r="K281" t="n">
        <v>8.119999999999999</v>
      </c>
      <c r="L281" t="n">
        <v>-16.96</v>
      </c>
      <c r="M281">
        <f>HYPERLINK("../../data/MAR02_DYNAMIC/FEB26/OTM/NIFTY2630225500PE_strategy.html", "View")</f>
        <v/>
      </c>
      <c r="N281" t="inlineStr"/>
      <c r="O281" t="inlineStr"/>
      <c r="P281" t="inlineStr">
        <is>
          <t>NEUTRAL</t>
        </is>
      </c>
      <c r="Q281" t="inlineStr">
        <is>
          <t>INCLUDED</t>
        </is>
      </c>
      <c r="R281" t="n">
        <v>-8.25</v>
      </c>
      <c r="S281" t="inlineStr">
        <is>
          <t>Dynamic Trailing MA (Fast/Slow MA)</t>
        </is>
      </c>
      <c r="T281" t="n">
        <v>0.3411</v>
      </c>
      <c r="U281" t="n">
        <v>0.3927</v>
      </c>
      <c r="V281" t="inlineStr">
        <is>
          <t>2026-02-26</t>
        </is>
      </c>
      <c r="W281" t="inlineStr">
        <is>
          <t>Between R1 and S1</t>
        </is>
      </c>
      <c r="X281" t="n">
        <v>25501.53</v>
      </c>
      <c r="Y281" t="n">
        <v>25763.52</v>
      </c>
      <c r="Z281" t="n">
        <v>25266.97</v>
      </c>
      <c r="AA281" t="n">
        <v>26072.68</v>
      </c>
      <c r="AB281" t="n">
        <v>25079.58</v>
      </c>
      <c r="AC281" t="n">
        <v>26260.07</v>
      </c>
      <c r="AD281" t="n">
        <v>24770.42</v>
      </c>
    </row>
    <row r="282">
      <c r="A282">
        <f>HYPERLINK("../../data/MAR02_DYNAMIC/FEB27/OTM/NIFTY2630225300PE_strategy.csv", "NIFTY2630225300PE")</f>
        <v/>
      </c>
      <c r="B282" t="inlineStr">
        <is>
          <t>PE</t>
        </is>
      </c>
      <c r="C282" t="inlineStr">
        <is>
          <t>13:45:01</t>
        </is>
      </c>
      <c r="D282" t="inlineStr">
        <is>
          <t>13:47:00</t>
        </is>
      </c>
      <c r="E282" t="n">
        <v>100.55</v>
      </c>
      <c r="F282" t="n">
        <v>92.51000000000001</v>
      </c>
      <c r="G282" t="n">
        <v>68124.11</v>
      </c>
      <c r="H282" t="n">
        <v>100680.49</v>
      </c>
      <c r="I282" t="n">
        <v>70476.34</v>
      </c>
      <c r="J282" t="inlineStr">
        <is>
          <t>EXECUTED</t>
        </is>
      </c>
      <c r="K282" t="n">
        <v>1.39</v>
      </c>
      <c r="L282" t="n">
        <v>-7.61</v>
      </c>
      <c r="M282">
        <f>HYPERLINK("../../data/MAR02_DYNAMIC/FEB27/OTM/NIFTY2630225300PE_strategy.html", "View")</f>
        <v/>
      </c>
      <c r="N282" t="inlineStr"/>
      <c r="O282" t="inlineStr"/>
      <c r="P282" t="inlineStr">
        <is>
          <t>BEARISH</t>
        </is>
      </c>
      <c r="Q282" t="inlineStr">
        <is>
          <t>INCLUDED (HYBRID_NEUTRAL_ZONE)</t>
        </is>
      </c>
      <c r="R282" t="n">
        <v>-8</v>
      </c>
      <c r="S282" t="inlineStr">
        <is>
          <t>Fixed Stop Loss</t>
        </is>
      </c>
      <c r="T282" t="n">
        <v>0.3796</v>
      </c>
      <c r="U282" t="inlineStr"/>
      <c r="V282" t="inlineStr">
        <is>
          <t>2026-02-27</t>
        </is>
      </c>
      <c r="W282" t="inlineStr">
        <is>
          <t>Between R1 and S1</t>
        </is>
      </c>
      <c r="X282" t="n">
        <v>25303.22</v>
      </c>
      <c r="Y282" t="n">
        <v>25763.52</v>
      </c>
      <c r="Z282" t="n">
        <v>25266.97</v>
      </c>
      <c r="AA282" t="n">
        <v>26072.68</v>
      </c>
      <c r="AB282" t="n">
        <v>25079.58</v>
      </c>
      <c r="AC282" t="n">
        <v>26260.07</v>
      </c>
      <c r="AD282" t="n">
        <v>24770.42</v>
      </c>
    </row>
    <row r="283">
      <c r="A283">
        <f>HYPERLINK("../../data/MAR02_DYNAMIC/FEB27/OTM/NIFTY2630225250PE_strategy.csv", "NIFTY2630225250PE")</f>
        <v/>
      </c>
      <c r="B283" t="inlineStr">
        <is>
          <t>PE</t>
        </is>
      </c>
      <c r="C283" t="inlineStr">
        <is>
          <t>13:31:01</t>
        </is>
      </c>
      <c r="D283" t="inlineStr">
        <is>
          <t>13:41:00</t>
        </is>
      </c>
      <c r="E283" t="n">
        <v>83</v>
      </c>
      <c r="F283" t="n">
        <v>76.36</v>
      </c>
      <c r="G283" t="n">
        <v>72397.28999999999</v>
      </c>
      <c r="H283" t="n">
        <v>100680.49</v>
      </c>
      <c r="I283" t="n">
        <v>70476.34</v>
      </c>
      <c r="J283" t="inlineStr">
        <is>
          <t>EXECUTED</t>
        </is>
      </c>
      <c r="K283" t="n">
        <v>4.46</v>
      </c>
      <c r="L283" t="n">
        <v>-4.88</v>
      </c>
      <c r="M283">
        <f>HYPERLINK("../../data/MAR02_DYNAMIC/FEB27/OTM/NIFTY2630225250PE_strategy.html", "View")</f>
        <v/>
      </c>
      <c r="N283" t="inlineStr"/>
      <c r="O283" t="inlineStr"/>
      <c r="P283" t="inlineStr">
        <is>
          <t>BULLISH</t>
        </is>
      </c>
      <c r="Q283" t="inlineStr">
        <is>
          <t>INCLUDED (HYBRID_NEUTRAL_ZONE)</t>
        </is>
      </c>
      <c r="R283" t="n">
        <v>-8</v>
      </c>
      <c r="S283" t="inlineStr">
        <is>
          <t>Fixed Stop Loss</t>
        </is>
      </c>
      <c r="T283" t="n">
        <v>0.216</v>
      </c>
      <c r="U283" t="inlineStr"/>
      <c r="V283" t="inlineStr">
        <is>
          <t>2026-02-27</t>
        </is>
      </c>
      <c r="W283" t="inlineStr">
        <is>
          <t>Between R1 and S1</t>
        </is>
      </c>
      <c r="X283" t="n">
        <v>25297.71</v>
      </c>
      <c r="Y283" t="n">
        <v>25763.52</v>
      </c>
      <c r="Z283" t="n">
        <v>25266.97</v>
      </c>
      <c r="AA283" t="n">
        <v>26072.68</v>
      </c>
      <c r="AB283" t="n">
        <v>25079.58</v>
      </c>
      <c r="AC283" t="n">
        <v>26260.07</v>
      </c>
      <c r="AD283" t="n">
        <v>24770.42</v>
      </c>
    </row>
    <row r="284">
      <c r="A284">
        <f>HYPERLINK("../../data/MAR02_DYNAMIC/FEB27/OTM/NIFTY2630225250PE_strategy.csv", "NIFTY2630225250PE")</f>
        <v/>
      </c>
      <c r="B284" t="inlineStr">
        <is>
          <t>PE</t>
        </is>
      </c>
      <c r="C284" t="inlineStr">
        <is>
          <t>13:18:01</t>
        </is>
      </c>
      <c r="D284" t="inlineStr">
        <is>
          <t>13:26:00</t>
        </is>
      </c>
      <c r="E284" t="n">
        <v>86.65000000000001</v>
      </c>
      <c r="F284" t="n">
        <v>79.72</v>
      </c>
      <c r="G284" t="n">
        <v>78692.7</v>
      </c>
      <c r="H284" t="n">
        <v>100680.49</v>
      </c>
      <c r="I284" t="n">
        <v>70476.34</v>
      </c>
      <c r="J284" t="inlineStr">
        <is>
          <t>EXECUTED</t>
        </is>
      </c>
      <c r="K284" t="n">
        <v>1.04</v>
      </c>
      <c r="L284" t="n">
        <v>-5.31</v>
      </c>
      <c r="M284">
        <f>HYPERLINK("../../data/MAR02_DYNAMIC/FEB27/OTM/NIFTY2630225250PE_strategy.html", "View")</f>
        <v/>
      </c>
      <c r="N284" t="inlineStr"/>
      <c r="O284" t="inlineStr"/>
      <c r="P284" t="inlineStr">
        <is>
          <t>NEUTRAL</t>
        </is>
      </c>
      <c r="Q284" t="inlineStr">
        <is>
          <t>INCLUDED</t>
        </is>
      </c>
      <c r="R284" t="n">
        <v>-8</v>
      </c>
      <c r="S284" t="inlineStr">
        <is>
          <t>Fixed Stop Loss</t>
        </is>
      </c>
      <c r="T284" t="n">
        <v>0.4049</v>
      </c>
      <c r="U284" t="inlineStr"/>
      <c r="V284" t="inlineStr">
        <is>
          <t>2026-02-27</t>
        </is>
      </c>
      <c r="W284" t="inlineStr">
        <is>
          <t>Between R1 and S1</t>
        </is>
      </c>
      <c r="X284" t="n">
        <v>25285.44</v>
      </c>
      <c r="Y284" t="n">
        <v>25763.52</v>
      </c>
      <c r="Z284" t="n">
        <v>25266.97</v>
      </c>
      <c r="AA284" t="n">
        <v>26072.68</v>
      </c>
      <c r="AB284" t="n">
        <v>25079.58</v>
      </c>
      <c r="AC284" t="n">
        <v>26260.07</v>
      </c>
      <c r="AD284" t="n">
        <v>24770.42</v>
      </c>
    </row>
    <row r="285">
      <c r="A285">
        <f>HYPERLINK("../../data/MAR02_DYNAMIC/FEB27/OTM/NIFTY2630225300CE_strategy.csv", "NIFTY2630225300CE")</f>
        <v/>
      </c>
      <c r="B285" t="inlineStr">
        <is>
          <t>CE</t>
        </is>
      </c>
      <c r="C285" t="inlineStr">
        <is>
          <t>13:08:01</t>
        </is>
      </c>
      <c r="D285" t="inlineStr">
        <is>
          <t>13:44:00</t>
        </is>
      </c>
      <c r="E285" t="n">
        <v>109.6</v>
      </c>
      <c r="F285" t="n">
        <v>112.1</v>
      </c>
      <c r="G285" t="n">
        <v>74047.94</v>
      </c>
      <c r="H285" t="n">
        <v>100680.49</v>
      </c>
      <c r="I285" t="n">
        <v>70476.34</v>
      </c>
      <c r="J285" t="inlineStr">
        <is>
          <t>EXECUTED</t>
        </is>
      </c>
      <c r="K285" t="n">
        <v>8.17</v>
      </c>
      <c r="L285" t="n">
        <v>-6.8</v>
      </c>
      <c r="M285">
        <f>HYPERLINK("../../data/MAR02_DYNAMIC/FEB27/OTM/NIFTY2630225300CE_strategy.html", "View")</f>
        <v/>
      </c>
      <c r="N285" t="inlineStr"/>
      <c r="O285" t="inlineStr"/>
      <c r="P285" t="inlineStr">
        <is>
          <t>BULLISH</t>
        </is>
      </c>
      <c r="Q285" t="inlineStr">
        <is>
          <t>INCLUDED (HYBRID_NEUTRAL_ZONE)</t>
        </is>
      </c>
      <c r="R285" t="n">
        <v>2.28</v>
      </c>
      <c r="S285" t="inlineStr">
        <is>
          <t>Dynamic Trailing MA (Fast/Slow MA)</t>
        </is>
      </c>
      <c r="T285" t="n">
        <v>0.6104000000000001</v>
      </c>
      <c r="U285" t="n">
        <v>0.635</v>
      </c>
      <c r="V285" t="inlineStr">
        <is>
          <t>2026-02-27</t>
        </is>
      </c>
      <c r="W285" t="inlineStr">
        <is>
          <t>Between R1 and S1</t>
        </is>
      </c>
      <c r="X285" t="n">
        <v>25294.61</v>
      </c>
      <c r="Y285" t="n">
        <v>25763.52</v>
      </c>
      <c r="Z285" t="n">
        <v>25266.97</v>
      </c>
      <c r="AA285" t="n">
        <v>26072.68</v>
      </c>
      <c r="AB285" t="n">
        <v>25079.58</v>
      </c>
      <c r="AC285" t="n">
        <v>26260.07</v>
      </c>
      <c r="AD285" t="n">
        <v>24770.42</v>
      </c>
    </row>
    <row r="286">
      <c r="A286">
        <f>HYPERLINK("../../data/MAR02_DYNAMIC/FEB27/OTM/NIFTY2630225300CE_strategy.csv", "NIFTY2630225300CE")</f>
        <v/>
      </c>
      <c r="B286" t="inlineStr">
        <is>
          <t>CE</t>
        </is>
      </c>
      <c r="C286" t="inlineStr">
        <is>
          <t>12:47:01</t>
        </is>
      </c>
      <c r="D286" t="inlineStr">
        <is>
          <t>12:48:00</t>
        </is>
      </c>
      <c r="E286" t="n">
        <v>109.85</v>
      </c>
      <c r="F286" t="n">
        <v>101.06</v>
      </c>
      <c r="G286" t="n">
        <v>87272.25999999999</v>
      </c>
      <c r="H286" t="n">
        <v>100680.49</v>
      </c>
      <c r="I286" t="n">
        <v>70476.34</v>
      </c>
      <c r="J286" t="inlineStr">
        <is>
          <t>EXECUTED</t>
        </is>
      </c>
      <c r="K286" t="n">
        <v>0</v>
      </c>
      <c r="L286" t="n">
        <v>-7.83</v>
      </c>
      <c r="M286">
        <f>HYPERLINK("../../data/MAR02_DYNAMIC/FEB27/OTM/NIFTY2630225300CE_strategy.html", "View")</f>
        <v/>
      </c>
      <c r="N286" t="inlineStr"/>
      <c r="O286" t="inlineStr"/>
      <c r="P286" t="inlineStr">
        <is>
          <t>BULLISH</t>
        </is>
      </c>
      <c r="Q286" t="inlineStr">
        <is>
          <t>INCLUDED (HYBRID_NEUTRAL_ZONE)</t>
        </is>
      </c>
      <c r="R286" t="n">
        <v>-8</v>
      </c>
      <c r="S286" t="inlineStr">
        <is>
          <t>Fixed Stop Loss</t>
        </is>
      </c>
      <c r="T286" t="n">
        <v>0.3398</v>
      </c>
      <c r="U286" t="inlineStr"/>
      <c r="V286" t="inlineStr">
        <is>
          <t>2026-02-27</t>
        </is>
      </c>
      <c r="W286" t="inlineStr">
        <is>
          <t>Between R1 and S1</t>
        </is>
      </c>
      <c r="X286" t="n">
        <v>25285.95</v>
      </c>
      <c r="Y286" t="n">
        <v>25763.52</v>
      </c>
      <c r="Z286" t="n">
        <v>25266.97</v>
      </c>
      <c r="AA286" t="n">
        <v>26072.68</v>
      </c>
      <c r="AB286" t="n">
        <v>25079.58</v>
      </c>
      <c r="AC286" t="n">
        <v>26260.07</v>
      </c>
      <c r="AD286" t="n">
        <v>24770.42</v>
      </c>
    </row>
    <row r="287">
      <c r="A287">
        <f>HYPERLINK("../../data/MAR02_DYNAMIC/FEB27/OTM/NIFTY2630225250PE_strategy.csv", "NIFTY2630225250PE")</f>
        <v/>
      </c>
      <c r="B287" t="inlineStr">
        <is>
          <t>PE</t>
        </is>
      </c>
      <c r="C287" t="inlineStr">
        <is>
          <t>12:36:01</t>
        </is>
      </c>
      <c r="D287" t="inlineStr">
        <is>
          <t>12:52:00</t>
        </is>
      </c>
      <c r="E287" t="n">
        <v>87.8</v>
      </c>
      <c r="F287" t="n">
        <v>86.05</v>
      </c>
      <c r="G287" t="n">
        <v>85535.55</v>
      </c>
      <c r="H287" t="n">
        <v>100680.49</v>
      </c>
      <c r="I287" t="n">
        <v>70476.34</v>
      </c>
      <c r="J287" t="inlineStr">
        <is>
          <t>EXECUTED</t>
        </is>
      </c>
      <c r="K287" t="n">
        <v>11.05</v>
      </c>
      <c r="L287" t="n">
        <v>-9.789999999999999</v>
      </c>
      <c r="M287">
        <f>HYPERLINK("../../data/MAR02_DYNAMIC/FEB27/OTM/NIFTY2630225250PE_strategy.html", "View")</f>
        <v/>
      </c>
      <c r="N287" t="inlineStr"/>
      <c r="O287" t="inlineStr"/>
      <c r="P287" t="inlineStr">
        <is>
          <t>BEARISH</t>
        </is>
      </c>
      <c r="Q287" t="inlineStr">
        <is>
          <t>INCLUDED (HYBRID_NEUTRAL_ZONE)</t>
        </is>
      </c>
      <c r="R287" t="n">
        <v>-1.99</v>
      </c>
      <c r="S287" t="inlineStr">
        <is>
          <t>Dynamic Trailing MA (Fast/Slow MA)</t>
        </is>
      </c>
      <c r="T287" t="n">
        <v>0.3046</v>
      </c>
      <c r="U287" t="n">
        <v>0.7035</v>
      </c>
      <c r="V287" t="inlineStr">
        <is>
          <t>2026-02-27</t>
        </is>
      </c>
      <c r="W287" t="inlineStr">
        <is>
          <t>Between R1 and S1</t>
        </is>
      </c>
      <c r="X287" t="n">
        <v>25288.72</v>
      </c>
      <c r="Y287" t="n">
        <v>25763.52</v>
      </c>
      <c r="Z287" t="n">
        <v>25266.97</v>
      </c>
      <c r="AA287" t="n">
        <v>26072.68</v>
      </c>
      <c r="AB287" t="n">
        <v>25079.58</v>
      </c>
      <c r="AC287" t="n">
        <v>26260.07</v>
      </c>
      <c r="AD287" t="n">
        <v>24770.42</v>
      </c>
    </row>
    <row r="288">
      <c r="A288">
        <f>HYPERLINK("../../data/MAR02_DYNAMIC/FEB27/OTM/NIFTY2630225300CE_strategy.csv", "NIFTY2630225300CE")</f>
        <v/>
      </c>
      <c r="B288" t="inlineStr">
        <is>
          <t>CE</t>
        </is>
      </c>
      <c r="C288" t="inlineStr">
        <is>
          <t>12:27:01</t>
        </is>
      </c>
      <c r="D288" t="inlineStr">
        <is>
          <t>12:39:00</t>
        </is>
      </c>
      <c r="E288" t="n">
        <v>110.4</v>
      </c>
      <c r="F288" t="n">
        <v>104.02</v>
      </c>
      <c r="G288" t="n">
        <v>94861.16</v>
      </c>
      <c r="H288" t="n">
        <v>100680.49</v>
      </c>
      <c r="I288" t="n">
        <v>70476.34</v>
      </c>
      <c r="J288" t="inlineStr">
        <is>
          <t>EXECUTED</t>
        </is>
      </c>
      <c r="K288" t="n">
        <v>5.93</v>
      </c>
      <c r="L288" t="n">
        <v>-11.05</v>
      </c>
      <c r="M288">
        <f>HYPERLINK("../../data/MAR02_DYNAMIC/FEB27/OTM/NIFTY2630225300CE_strategy.html", "View")</f>
        <v/>
      </c>
      <c r="N288" t="inlineStr"/>
      <c r="O288" t="inlineStr"/>
      <c r="P288" t="inlineStr">
        <is>
          <t>BULLISH</t>
        </is>
      </c>
      <c r="Q288" t="inlineStr">
        <is>
          <t>INCLUDED (HYBRID_NEUTRAL_ZONE)</t>
        </is>
      </c>
      <c r="R288" t="n">
        <v>-5.78</v>
      </c>
      <c r="S288" t="inlineStr">
        <is>
          <t>SuperTrend Stop Loss Exit</t>
        </is>
      </c>
      <c r="T288" t="n">
        <v>0.5832000000000001</v>
      </c>
      <c r="U288" t="inlineStr"/>
      <c r="V288" t="inlineStr">
        <is>
          <t>2026-02-27</t>
        </is>
      </c>
      <c r="W288" t="inlineStr">
        <is>
          <t>Between R1 and S1</t>
        </is>
      </c>
      <c r="X288" t="n">
        <v>25299.79</v>
      </c>
      <c r="Y288" t="n">
        <v>25763.52</v>
      </c>
      <c r="Z288" t="n">
        <v>25266.97</v>
      </c>
      <c r="AA288" t="n">
        <v>26072.68</v>
      </c>
      <c r="AB288" t="n">
        <v>25079.58</v>
      </c>
      <c r="AC288" t="n">
        <v>26260.07</v>
      </c>
      <c r="AD288" t="n">
        <v>24770.42</v>
      </c>
    </row>
    <row r="289">
      <c r="A289">
        <f>HYPERLINK("../../data/MAR02_DYNAMIC/FEB27/OTM/NIFTY2630225300PE_strategy.csv", "NIFTY2630225300PE")</f>
        <v/>
      </c>
      <c r="B289" t="inlineStr">
        <is>
          <t>PE</t>
        </is>
      </c>
      <c r="C289" t="inlineStr">
        <is>
          <t>12:08:01</t>
        </is>
      </c>
      <c r="D289" t="inlineStr">
        <is>
          <t>12:26:00</t>
        </is>
      </c>
      <c r="E289" t="n">
        <v>105.95</v>
      </c>
      <c r="F289" t="n">
        <v>108.92</v>
      </c>
      <c r="G289" t="n">
        <v>100680.49</v>
      </c>
      <c r="H289" t="n">
        <v>100680.49</v>
      </c>
      <c r="I289" t="n">
        <v>70476.34</v>
      </c>
      <c r="J289" t="inlineStr">
        <is>
          <t>EXECUTED</t>
        </is>
      </c>
      <c r="K289" t="n">
        <v>16.66</v>
      </c>
      <c r="L289" t="n">
        <v>-12.18</v>
      </c>
      <c r="M289">
        <f>HYPERLINK("../../data/MAR02_DYNAMIC/FEB27/OTM/NIFTY2630225300PE_strategy.html", "View")</f>
        <v/>
      </c>
      <c r="N289" t="inlineStr"/>
      <c r="O289" t="inlineStr"/>
      <c r="P289" t="inlineStr">
        <is>
          <t>BEARISH</t>
        </is>
      </c>
      <c r="Q289" t="inlineStr">
        <is>
          <t>INCLUDED (HYBRID_NEUTRAL_ZONE)</t>
        </is>
      </c>
      <c r="R289" t="n">
        <v>2.8</v>
      </c>
      <c r="S289" t="inlineStr">
        <is>
          <t>SuperTrend Stop Loss Exit</t>
        </is>
      </c>
      <c r="T289" t="n">
        <v>0.504</v>
      </c>
      <c r="U289" t="n">
        <v>0.8366</v>
      </c>
      <c r="V289" t="inlineStr">
        <is>
          <t>2026-02-27</t>
        </is>
      </c>
      <c r="W289" t="inlineStr">
        <is>
          <t>Between R1 and S1</t>
        </is>
      </c>
      <c r="X289" t="n">
        <v>25295.91</v>
      </c>
      <c r="Y289" t="n">
        <v>25763.52</v>
      </c>
      <c r="Z289" t="n">
        <v>25266.97</v>
      </c>
      <c r="AA289" t="n">
        <v>26072.68</v>
      </c>
      <c r="AB289" t="n">
        <v>25079.58</v>
      </c>
      <c r="AC289" t="n">
        <v>26260.07</v>
      </c>
      <c r="AD289" t="n">
        <v>24770.42</v>
      </c>
    </row>
    <row r="290">
      <c r="A290">
        <f>HYPERLINK("../../data/MAR02_DYNAMIC/FEB27/OTM/NIFTY2630225300CE_strategy.csv", "NIFTY2630225300CE")</f>
        <v/>
      </c>
      <c r="B290" t="inlineStr">
        <is>
          <t>CE</t>
        </is>
      </c>
      <c r="C290" t="inlineStr">
        <is>
          <t>11:46:01</t>
        </is>
      </c>
      <c r="D290" t="inlineStr">
        <is>
          <t>12:08:00</t>
        </is>
      </c>
      <c r="E290" t="n">
        <v>113.05</v>
      </c>
      <c r="F290" t="n">
        <v>111.98</v>
      </c>
      <c r="G290" t="n">
        <v>97938.22</v>
      </c>
      <c r="H290" t="n">
        <v>100000</v>
      </c>
      <c r="I290" t="n">
        <v>70000</v>
      </c>
      <c r="J290" t="inlineStr">
        <is>
          <t>EXECUTED</t>
        </is>
      </c>
      <c r="K290" t="n">
        <v>10.31</v>
      </c>
      <c r="L290" t="n">
        <v>-8.449999999999999</v>
      </c>
      <c r="M290">
        <f>HYPERLINK("../../data/MAR02_DYNAMIC/FEB27/OTM/NIFTY2630225300CE_strategy.html", "View")</f>
        <v/>
      </c>
      <c r="N290" t="inlineStr"/>
      <c r="O290" t="inlineStr"/>
      <c r="P290" t="inlineStr">
        <is>
          <t>BULLISH</t>
        </is>
      </c>
      <c r="Q290" t="inlineStr">
        <is>
          <t>INCLUDED (HYBRID_NEUTRAL_ZONE)</t>
        </is>
      </c>
      <c r="R290" t="n">
        <v>-0.95</v>
      </c>
      <c r="S290" t="inlineStr">
        <is>
          <t>SuperTrend Stop Loss Exit</t>
        </is>
      </c>
      <c r="T290" t="n">
        <v>0.4442</v>
      </c>
      <c r="U290" t="n">
        <v>0.7127</v>
      </c>
      <c r="V290" t="inlineStr">
        <is>
          <t>2026-02-27</t>
        </is>
      </c>
      <c r="W290" t="inlineStr">
        <is>
          <t>Between R1 and S1</t>
        </is>
      </c>
      <c r="X290" t="n">
        <v>25301.86</v>
      </c>
      <c r="Y290" t="n">
        <v>25763.52</v>
      </c>
      <c r="Z290" t="n">
        <v>25266.97</v>
      </c>
      <c r="AA290" t="n">
        <v>26072.68</v>
      </c>
      <c r="AB290" t="n">
        <v>25079.58</v>
      </c>
      <c r="AC290" t="n">
        <v>26260.07</v>
      </c>
      <c r="AD290" t="n">
        <v>24770.42</v>
      </c>
    </row>
    <row r="291">
      <c r="A291">
        <f>HYPERLINK("../../data/MAR02_DYNAMIC/FEB27/OTM/NIFTY2630225300PE_strategy.csv", "NIFTY2630225300PE")</f>
        <v/>
      </c>
      <c r="B291" t="inlineStr">
        <is>
          <t>PE</t>
        </is>
      </c>
      <c r="C291" t="inlineStr">
        <is>
          <t>11:19:01</t>
        </is>
      </c>
      <c r="D291" t="inlineStr">
        <is>
          <t>11:40:00</t>
        </is>
      </c>
      <c r="E291" t="n">
        <v>93.65000000000001</v>
      </c>
      <c r="F291" t="n">
        <v>109.72</v>
      </c>
      <c r="G291" t="n">
        <v>98877.56</v>
      </c>
      <c r="H291" t="n">
        <v>100000</v>
      </c>
      <c r="I291" t="n">
        <v>70000</v>
      </c>
      <c r="J291" t="inlineStr">
        <is>
          <t>EXECUTED</t>
        </is>
      </c>
      <c r="K291" t="n">
        <v>35.29</v>
      </c>
      <c r="L291" t="n">
        <v>-9.880000000000001</v>
      </c>
      <c r="M291">
        <f>HYPERLINK("../../data/MAR02_DYNAMIC/FEB27/OTM/NIFTY2630225300PE_strategy.html", "View")</f>
        <v/>
      </c>
      <c r="N291" t="inlineStr"/>
      <c r="O291" t="inlineStr"/>
      <c r="P291" t="inlineStr">
        <is>
          <t>NEUTRAL</t>
        </is>
      </c>
      <c r="Q291" t="inlineStr">
        <is>
          <t>INCLUDED</t>
        </is>
      </c>
      <c r="R291" t="n">
        <v>17.16</v>
      </c>
      <c r="S291" t="inlineStr">
        <is>
          <t>SuperTrend Stop Loss Exit</t>
        </is>
      </c>
      <c r="T291" t="n">
        <v>0.3602</v>
      </c>
      <c r="U291" t="n">
        <v>0.5708</v>
      </c>
      <c r="V291" t="inlineStr">
        <is>
          <t>2026-02-27</t>
        </is>
      </c>
      <c r="W291" t="inlineStr">
        <is>
          <t>Between R1 and S1</t>
        </is>
      </c>
      <c r="X291" t="n">
        <v>25325.61</v>
      </c>
      <c r="Y291" t="n">
        <v>25763.52</v>
      </c>
      <c r="Z291" t="n">
        <v>25266.97</v>
      </c>
      <c r="AA291" t="n">
        <v>26072.68</v>
      </c>
      <c r="AB291" t="n">
        <v>25079.58</v>
      </c>
      <c r="AC291" t="n">
        <v>26260.07</v>
      </c>
      <c r="AD291" t="n">
        <v>24770.42</v>
      </c>
    </row>
    <row r="292">
      <c r="A292">
        <f>HYPERLINK("../../data/MAR02_DYNAMIC/FEB27/OTM/NIFTY2630225350CE_strategy.csv", "NIFTY2630225350CE")</f>
        <v/>
      </c>
      <c r="B292" t="inlineStr">
        <is>
          <t>CE</t>
        </is>
      </c>
      <c r="C292" t="inlineStr">
        <is>
          <t>11:04:01</t>
        </is>
      </c>
      <c r="D292" t="inlineStr">
        <is>
          <t>11:21:00</t>
        </is>
      </c>
      <c r="E292" t="n">
        <v>98.25</v>
      </c>
      <c r="F292" t="n">
        <v>99.84999999999999</v>
      </c>
      <c r="G292" t="n">
        <v>84395.32000000001</v>
      </c>
      <c r="H292" t="n">
        <v>100000</v>
      </c>
      <c r="I292" t="n">
        <v>70000</v>
      </c>
      <c r="J292" t="inlineStr">
        <is>
          <t>EXECUTED</t>
        </is>
      </c>
      <c r="K292" t="n">
        <v>10.03</v>
      </c>
      <c r="L292" t="n">
        <v>-6.36</v>
      </c>
      <c r="M292">
        <f>HYPERLINK("../../data/MAR02_DYNAMIC/FEB27/OTM/NIFTY2630225350CE_strategy.html", "View")</f>
        <v/>
      </c>
      <c r="N292" t="inlineStr"/>
      <c r="O292" t="inlineStr"/>
      <c r="P292" t="inlineStr">
        <is>
          <t>NEUTRAL</t>
        </is>
      </c>
      <c r="Q292" t="inlineStr">
        <is>
          <t>INCLUDED</t>
        </is>
      </c>
      <c r="R292" t="n">
        <v>1.63</v>
      </c>
      <c r="S292" t="inlineStr">
        <is>
          <t>Dynamic Trailing MA (Fast/Slow MA)</t>
        </is>
      </c>
      <c r="T292" t="n">
        <v>0.5709</v>
      </c>
      <c r="U292" t="n">
        <v>0.9233</v>
      </c>
      <c r="V292" t="inlineStr">
        <is>
          <t>2026-02-27</t>
        </is>
      </c>
      <c r="W292" t="inlineStr">
        <is>
          <t>Between R1 and S1</t>
        </is>
      </c>
      <c r="X292" t="n">
        <v>25320.9</v>
      </c>
      <c r="Y292" t="n">
        <v>25763.52</v>
      </c>
      <c r="Z292" t="n">
        <v>25266.97</v>
      </c>
      <c r="AA292" t="n">
        <v>26072.68</v>
      </c>
      <c r="AB292" t="n">
        <v>25079.58</v>
      </c>
      <c r="AC292" t="n">
        <v>26260.07</v>
      </c>
      <c r="AD292" t="n">
        <v>24770.42</v>
      </c>
    </row>
    <row r="293">
      <c r="A293">
        <f>HYPERLINK("../../data/MAR02_DYNAMIC/FEB27/OTM/NIFTY2630225300PE_strategy.csv", "NIFTY2630225300PE")</f>
        <v/>
      </c>
      <c r="B293" t="inlineStr">
        <is>
          <t>PE</t>
        </is>
      </c>
      <c r="C293" t="inlineStr">
        <is>
          <t>10:42:01</t>
        </is>
      </c>
      <c r="D293" t="inlineStr">
        <is>
          <t>11:05:00</t>
        </is>
      </c>
      <c r="E293" t="n">
        <v>99.34999999999999</v>
      </c>
      <c r="F293" t="n">
        <v>93.61</v>
      </c>
      <c r="G293" t="n">
        <v>83041.74000000001</v>
      </c>
      <c r="H293" t="n">
        <v>100000</v>
      </c>
      <c r="I293" t="n">
        <v>70000</v>
      </c>
      <c r="J293" t="inlineStr">
        <is>
          <t>EXECUTED</t>
        </is>
      </c>
      <c r="K293" t="n">
        <v>6.39</v>
      </c>
      <c r="L293" t="n">
        <v>-14.19</v>
      </c>
      <c r="M293">
        <f>HYPERLINK("../../data/MAR02_DYNAMIC/FEB27/OTM/NIFTY2630225300PE_strategy.html", "View")</f>
        <v/>
      </c>
      <c r="N293" t="inlineStr"/>
      <c r="O293" t="inlineStr"/>
      <c r="P293" t="inlineStr">
        <is>
          <t>NEUTRAL</t>
        </is>
      </c>
      <c r="Q293" t="inlineStr">
        <is>
          <t>INCLUDED</t>
        </is>
      </c>
      <c r="R293" t="n">
        <v>-5.78</v>
      </c>
      <c r="S293" t="inlineStr">
        <is>
          <t>SuperTrend Stop Loss Exit</t>
        </is>
      </c>
      <c r="T293" t="n">
        <v>0.4848</v>
      </c>
      <c r="U293" t="inlineStr"/>
      <c r="V293" t="inlineStr">
        <is>
          <t>2026-02-27</t>
        </is>
      </c>
      <c r="W293" t="inlineStr">
        <is>
          <t>Between R1 and S1</t>
        </is>
      </c>
      <c r="X293" t="n">
        <v>25320.83</v>
      </c>
      <c r="Y293" t="n">
        <v>25763.52</v>
      </c>
      <c r="Z293" t="n">
        <v>25266.97</v>
      </c>
      <c r="AA293" t="n">
        <v>26072.68</v>
      </c>
      <c r="AB293" t="n">
        <v>25079.58</v>
      </c>
      <c r="AC293" t="n">
        <v>26260.07</v>
      </c>
      <c r="AD293" t="n">
        <v>24770.42</v>
      </c>
    </row>
    <row r="294">
      <c r="A294">
        <f>HYPERLINK("../../data/MAR02_DYNAMIC/FEB27/OTM/NIFTY2630225350CE_strategy.csv", "NIFTY2630225350CE")</f>
        <v/>
      </c>
      <c r="B294" t="inlineStr">
        <is>
          <t>CE</t>
        </is>
      </c>
      <c r="C294" t="inlineStr">
        <is>
          <t>10:26:01</t>
        </is>
      </c>
      <c r="D294" t="inlineStr">
        <is>
          <t>10:41:00</t>
        </is>
      </c>
      <c r="E294" t="n">
        <v>102</v>
      </c>
      <c r="F294" t="n">
        <v>97.72</v>
      </c>
      <c r="G294" t="n">
        <v>88136</v>
      </c>
      <c r="H294" t="n">
        <v>100000</v>
      </c>
      <c r="I294" t="n">
        <v>70000</v>
      </c>
      <c r="J294" t="inlineStr">
        <is>
          <t>EXECUTED</t>
        </is>
      </c>
      <c r="K294" t="n">
        <v>7.5</v>
      </c>
      <c r="L294" t="n">
        <v>-13.04</v>
      </c>
      <c r="M294">
        <f>HYPERLINK("../../data/MAR02_DYNAMIC/FEB27/OTM/NIFTY2630225350CE_strategy.html", "View")</f>
        <v/>
      </c>
      <c r="N294" t="inlineStr"/>
      <c r="O294" t="inlineStr"/>
      <c r="P294" t="inlineStr">
        <is>
          <t>NEUTRAL</t>
        </is>
      </c>
      <c r="Q294" t="inlineStr">
        <is>
          <t>INCLUDED</t>
        </is>
      </c>
      <c r="R294" t="n">
        <v>-4.2</v>
      </c>
      <c r="S294" t="inlineStr">
        <is>
          <t>SuperTrend Stop Loss Exit</t>
        </is>
      </c>
      <c r="T294" t="n">
        <v>0.4561</v>
      </c>
      <c r="U294" t="n">
        <v>0.6978</v>
      </c>
      <c r="V294" t="inlineStr">
        <is>
          <t>2026-02-27</t>
        </is>
      </c>
      <c r="W294" t="inlineStr">
        <is>
          <t>Between R1 and S1</t>
        </is>
      </c>
      <c r="X294" t="n">
        <v>25324.42</v>
      </c>
      <c r="Y294" t="n">
        <v>25763.52</v>
      </c>
      <c r="Z294" t="n">
        <v>25266.97</v>
      </c>
      <c r="AA294" t="n">
        <v>26072.68</v>
      </c>
      <c r="AB294" t="n">
        <v>25079.58</v>
      </c>
      <c r="AC294" t="n">
        <v>26260.07</v>
      </c>
      <c r="AD294" t="n">
        <v>24770.42</v>
      </c>
    </row>
    <row r="295">
      <c r="A295">
        <f>HYPERLINK("../../data/MAR02_DYNAMIC/FEB27/OTM/NIFTY2630225350CE_strategy.csv", "NIFTY2630225350CE")</f>
        <v/>
      </c>
      <c r="B295" t="inlineStr">
        <is>
          <t>CE</t>
        </is>
      </c>
      <c r="C295" t="inlineStr">
        <is>
          <t>10:12:01</t>
        </is>
      </c>
      <c r="D295" t="inlineStr">
        <is>
          <t>10:16:00</t>
        </is>
      </c>
      <c r="E295" t="n">
        <v>103.3</v>
      </c>
      <c r="F295" t="n">
        <v>95.04000000000001</v>
      </c>
      <c r="G295" t="n">
        <v>92000</v>
      </c>
      <c r="H295" t="n">
        <v>100000</v>
      </c>
      <c r="I295" t="n">
        <v>70000</v>
      </c>
      <c r="J295" t="inlineStr">
        <is>
          <t>EXECUTED</t>
        </is>
      </c>
      <c r="K295" t="n">
        <v>0.58</v>
      </c>
      <c r="L295" t="n">
        <v>-8.619999999999999</v>
      </c>
      <c r="M295">
        <f>HYPERLINK("../../data/MAR02_DYNAMIC/FEB27/OTM/NIFTY2630225350CE_strategy.html", "View")</f>
        <v/>
      </c>
      <c r="N295" t="inlineStr"/>
      <c r="O295" t="inlineStr"/>
      <c r="P295" t="inlineStr">
        <is>
          <t>BULLISH</t>
        </is>
      </c>
      <c r="Q295" t="inlineStr">
        <is>
          <t>INCLUDED (HYBRID_NEUTRAL_ZONE)</t>
        </is>
      </c>
      <c r="R295" t="n">
        <v>-8</v>
      </c>
      <c r="S295" t="inlineStr">
        <is>
          <t>Fixed Stop Loss</t>
        </is>
      </c>
      <c r="T295" t="n">
        <v>0.4286</v>
      </c>
      <c r="U295" t="inlineStr"/>
      <c r="V295" t="inlineStr">
        <is>
          <t>2026-02-27</t>
        </is>
      </c>
      <c r="W295" t="inlineStr">
        <is>
          <t>Between R1 and S1</t>
        </is>
      </c>
      <c r="X295" t="n">
        <v>25330.6</v>
      </c>
      <c r="Y295" t="n">
        <v>25763.52</v>
      </c>
      <c r="Z295" t="n">
        <v>25266.97</v>
      </c>
      <c r="AA295" t="n">
        <v>26072.68</v>
      </c>
      <c r="AB295" t="n">
        <v>25079.58</v>
      </c>
      <c r="AC295" t="n">
        <v>26260.07</v>
      </c>
      <c r="AD295" t="n">
        <v>24770.42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realized_pnl_pct</t>
        </is>
      </c>
      <c r="O1" s="1" t="inlineStr">
        <is>
          <t>trade_status_reason</t>
        </is>
      </c>
      <c r="P1" s="1" t="inlineStr">
        <is>
          <t>market_sentiment</t>
        </is>
      </c>
      <c r="Q1" s="1" t="inlineStr">
        <is>
          <t>filter_status</t>
        </is>
      </c>
      <c r="R1" s="1" t="inlineStr">
        <is>
          <t>sentiment_pnl</t>
        </is>
      </c>
      <c r="S1" s="1" t="inlineStr">
        <is>
          <t>exit_reason</t>
        </is>
      </c>
      <c r="T1" s="1" t="inlineStr">
        <is>
          <t>demarker</t>
        </is>
      </c>
      <c r="U1" s="1" t="inlineStr">
        <is>
          <t>demarker_at_7pct</t>
        </is>
      </c>
      <c r="V1" s="1" t="inlineStr">
        <is>
          <t>date</t>
        </is>
      </c>
      <c r="W1" s="1" t="inlineStr">
        <is>
          <t>zone</t>
        </is>
      </c>
      <c r="X1" s="1" t="inlineStr">
        <is>
          <t>nifty_at_entry</t>
        </is>
      </c>
      <c r="Y1" s="1" t="inlineStr">
        <is>
          <t>R1</t>
        </is>
      </c>
      <c r="Z1" s="1" t="inlineStr">
        <is>
          <t>S1</t>
        </is>
      </c>
      <c r="AA1" s="1" t="inlineStr">
        <is>
          <t>R2</t>
        </is>
      </c>
      <c r="AB1" s="1" t="inlineStr">
        <is>
          <t>S2</t>
        </is>
      </c>
      <c r="AC1" s="1" t="inlineStr">
        <is>
          <t>R3</t>
        </is>
      </c>
      <c r="AD1" s="1" t="inlineStr">
        <is>
          <t>S3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trade_status_reason</t>
        </is>
      </c>
      <c r="O1" s="1" t="inlineStr">
        <is>
          <t>market_sentiment</t>
        </is>
      </c>
      <c r="P1" s="1" t="inlineStr">
        <is>
          <t>filter_status</t>
        </is>
      </c>
      <c r="Q1" s="1" t="inlineStr">
        <is>
          <t>sentiment_pnl</t>
        </is>
      </c>
      <c r="R1" s="1" t="inlineStr">
        <is>
          <t>exit_reason</t>
        </is>
      </c>
      <c r="S1" s="1" t="inlineStr">
        <is>
          <t>demarker</t>
        </is>
      </c>
      <c r="T1" s="1" t="inlineStr">
        <is>
          <t>demarker_at_7pct</t>
        </is>
      </c>
      <c r="U1" s="1" t="inlineStr">
        <is>
          <t>date</t>
        </is>
      </c>
      <c r="V1" s="1" t="inlineStr">
        <is>
          <t>zone</t>
        </is>
      </c>
      <c r="W1" s="1" t="inlineStr">
        <is>
          <t>nifty_at_entry</t>
        </is>
      </c>
      <c r="X1" s="1" t="inlineStr">
        <is>
          <t>R1</t>
        </is>
      </c>
      <c r="Y1" s="1" t="inlineStr">
        <is>
          <t>S1</t>
        </is>
      </c>
      <c r="Z1" s="1" t="inlineStr">
        <is>
          <t>R2</t>
        </is>
      </c>
      <c r="AA1" s="1" t="inlineStr">
        <is>
          <t>S2</t>
        </is>
      </c>
      <c r="AB1" s="1" t="inlineStr">
        <is>
          <t>R3</t>
        </is>
      </c>
      <c r="AC1" s="1" t="inlineStr">
        <is>
          <t>S3</t>
        </is>
      </c>
    </row>
    <row r="2">
      <c r="A2">
        <f>HYPERLINK("../../data/JAN20_DYNAMIC/JAN19/OTM/NIFTY2612025500PE_strategy.csv", "NIFTY2612025500PE")</f>
        <v/>
      </c>
      <c r="B2" t="inlineStr">
        <is>
          <t>PE</t>
        </is>
      </c>
      <c r="C2" t="inlineStr">
        <is>
          <t>11:58:01</t>
        </is>
      </c>
      <c r="D2" t="inlineStr">
        <is>
          <t>12:15:00</t>
        </is>
      </c>
      <c r="E2" t="n">
        <v>60.75</v>
      </c>
      <c r="F2" t="n">
        <v>57.05</v>
      </c>
      <c r="G2" t="n">
        <v>96902.64</v>
      </c>
      <c r="H2" t="n">
        <v>109890</v>
      </c>
      <c r="I2" t="n">
        <v>76923</v>
      </c>
      <c r="J2" t="inlineStr">
        <is>
          <t>EXECUTED</t>
        </is>
      </c>
      <c r="K2" t="n">
        <v>10.7</v>
      </c>
      <c r="L2" t="n">
        <v>-13.91</v>
      </c>
      <c r="M2">
        <f>HYPERLINK("../../data/JAN20_DYNAMIC/JAN19/OTM/NIFTY2612025500PE_strategy.html", "View")</f>
        <v/>
      </c>
      <c r="N2" t="inlineStr"/>
      <c r="O2" t="inlineStr">
        <is>
          <t>BULLISH</t>
        </is>
      </c>
      <c r="P2" t="inlineStr">
        <is>
          <t>INCLUDED (HYBRID_NEUTRAL_ZONE)</t>
        </is>
      </c>
      <c r="Q2" t="n">
        <v>-6.09</v>
      </c>
      <c r="R2" t="inlineStr">
        <is>
          <t>SuperTrend Stop Loss Exit</t>
        </is>
      </c>
      <c r="S2" t="n">
        <v>0.7511</v>
      </c>
      <c r="T2" t="n">
        <v>0.737</v>
      </c>
      <c r="U2" t="inlineStr">
        <is>
          <t>2026-01-19</t>
        </is>
      </c>
      <c r="V2" t="inlineStr">
        <is>
          <t>Below S1</t>
        </is>
      </c>
      <c r="W2" t="n">
        <v>25531</v>
      </c>
      <c r="X2" t="n">
        <v>25824.43</v>
      </c>
      <c r="Y2" t="n">
        <v>25613.33</v>
      </c>
      <c r="Z2" t="n">
        <v>25954.52</v>
      </c>
      <c r="AA2" t="n">
        <v>25532.32</v>
      </c>
      <c r="AB2" t="n">
        <v>26035.53</v>
      </c>
      <c r="AC2" t="n">
        <v>25402.23</v>
      </c>
    </row>
    <row r="3">
      <c r="A3">
        <f>HYPERLINK("../../data/JAN20_DYNAMIC/JAN19/OTM/NIFTY2612025500PE_strategy.csv", "NIFTY2612025500PE")</f>
        <v/>
      </c>
      <c r="B3" t="inlineStr">
        <is>
          <t>PE</t>
        </is>
      </c>
      <c r="C3" t="inlineStr">
        <is>
          <t>11:12:01</t>
        </is>
      </c>
      <c r="D3" t="inlineStr">
        <is>
          <t>11:38:00</t>
        </is>
      </c>
      <c r="E3" t="n">
        <v>62.6</v>
      </c>
      <c r="F3" t="n">
        <v>58.78</v>
      </c>
      <c r="G3" t="n">
        <v>103186.71</v>
      </c>
      <c r="H3" t="n">
        <v>109890</v>
      </c>
      <c r="I3" t="n">
        <v>76923</v>
      </c>
      <c r="J3" t="inlineStr">
        <is>
          <t>EXECUTED</t>
        </is>
      </c>
      <c r="K3" t="n">
        <v>13.02</v>
      </c>
      <c r="L3" t="n">
        <v>-19.49</v>
      </c>
      <c r="M3">
        <f>HYPERLINK("../../data/JAN20_DYNAMIC/JAN19/OTM/NIFTY2612025500PE_strategy.html", "View")</f>
        <v/>
      </c>
      <c r="N3" t="inlineStr"/>
      <c r="O3" t="inlineStr">
        <is>
          <t>BULLISH</t>
        </is>
      </c>
      <c r="P3" t="inlineStr">
        <is>
          <t>INCLUDED (HYBRID_NEUTRAL_ZONE)</t>
        </is>
      </c>
      <c r="Q3" t="n">
        <v>-6.1</v>
      </c>
      <c r="R3" t="inlineStr">
        <is>
          <t>SuperTrend Stop Loss Exit</t>
        </is>
      </c>
      <c r="S3" t="n">
        <v>0.4952</v>
      </c>
      <c r="T3" t="n">
        <v>0.8657</v>
      </c>
      <c r="U3" t="inlineStr">
        <is>
          <t>2026-01-19</t>
        </is>
      </c>
      <c r="V3" t="inlineStr">
        <is>
          <t>Below S1</t>
        </is>
      </c>
      <c r="W3" t="n">
        <v>25530.5</v>
      </c>
      <c r="X3" t="n">
        <v>25824.43</v>
      </c>
      <c r="Y3" t="n">
        <v>25613.33</v>
      </c>
      <c r="Z3" t="n">
        <v>25954.52</v>
      </c>
      <c r="AA3" t="n">
        <v>25532.32</v>
      </c>
      <c r="AB3" t="n">
        <v>26035.53</v>
      </c>
      <c r="AC3" t="n">
        <v>25402.23</v>
      </c>
    </row>
    <row r="4">
      <c r="A4">
        <f>HYPERLINK("../../data/FEB17_DYNAMIC/FEB12/OTM/NIFTY2621725800PE_strategy.csv", "NIFTY2621725800PE")</f>
        <v/>
      </c>
      <c r="B4" t="inlineStr">
        <is>
          <t>PE</t>
        </is>
      </c>
      <c r="C4" t="inlineStr">
        <is>
          <t>13:07:01</t>
        </is>
      </c>
      <c r="D4" t="inlineStr">
        <is>
          <t>13:18:00</t>
        </is>
      </c>
      <c r="E4" t="n">
        <v>76.75</v>
      </c>
      <c r="F4" t="n">
        <v>76.45999999999999</v>
      </c>
      <c r="G4" t="n">
        <v>100520.91</v>
      </c>
      <c r="H4" t="n">
        <v>100904.35</v>
      </c>
      <c r="I4" t="n">
        <v>70633.03999999999</v>
      </c>
      <c r="J4" t="inlineStr">
        <is>
          <t>EXECUTED</t>
        </is>
      </c>
      <c r="K4" t="n">
        <v>9.19</v>
      </c>
      <c r="L4" t="n">
        <v>-6.51</v>
      </c>
      <c r="M4">
        <f>HYPERLINK("../../data/FEB17_DYNAMIC/FEB12/OTM/NIFTY2621725800PE_strategy.html", "View")</f>
        <v/>
      </c>
      <c r="N4" t="inlineStr"/>
      <c r="O4" t="inlineStr">
        <is>
          <t>NEUTRAL</t>
        </is>
      </c>
      <c r="P4" t="inlineStr">
        <is>
          <t>INCLUDED</t>
        </is>
      </c>
      <c r="Q4" t="n">
        <v>-0.38</v>
      </c>
      <c r="R4" t="inlineStr">
        <is>
          <t>SuperTrend Stop Loss Exit</t>
        </is>
      </c>
      <c r="S4" t="n">
        <v>0.625</v>
      </c>
      <c r="T4" t="n">
        <v>0.8202</v>
      </c>
      <c r="U4" t="inlineStr">
        <is>
          <t>2026-02-12</t>
        </is>
      </c>
      <c r="V4" t="inlineStr">
        <is>
          <t>Below S1</t>
        </is>
      </c>
      <c r="W4" t="n">
        <v>25844.38</v>
      </c>
      <c r="X4" t="n">
        <v>26008.9</v>
      </c>
      <c r="Y4" t="n">
        <v>25899.3</v>
      </c>
      <c r="Z4" t="n">
        <v>26063.95</v>
      </c>
      <c r="AA4" t="n">
        <v>25844.75</v>
      </c>
      <c r="AB4" t="n">
        <v>26118.5</v>
      </c>
      <c r="AC4" t="n">
        <v>25789.7</v>
      </c>
    </row>
    <row r="5">
      <c r="A5">
        <f>HYPERLINK("../../data/FEB17_DYNAMIC/FEB12/OTM/NIFTY2621725850CE_strategy.csv", "NIFTY2621725850CE")</f>
        <v/>
      </c>
      <c r="B5" t="inlineStr">
        <is>
          <t>CE</t>
        </is>
      </c>
      <c r="C5" t="inlineStr">
        <is>
          <t>09:46:01</t>
        </is>
      </c>
      <c r="D5" t="inlineStr">
        <is>
          <t>10:08:00</t>
        </is>
      </c>
      <c r="E5" t="n">
        <v>129.55</v>
      </c>
      <c r="F5" t="n">
        <v>126.75</v>
      </c>
      <c r="G5" t="n">
        <v>97840</v>
      </c>
      <c r="H5" t="n">
        <v>100000</v>
      </c>
      <c r="I5" t="n">
        <v>70000</v>
      </c>
      <c r="J5" t="inlineStr">
        <is>
          <t>EXECUTED</t>
        </is>
      </c>
      <c r="K5" t="n">
        <v>7.64</v>
      </c>
      <c r="L5" t="n">
        <v>-6.25</v>
      </c>
      <c r="M5">
        <f>HYPERLINK("../../data/FEB17_DYNAMIC/FEB12/OTM/NIFTY2621725850CE_strategy.html", "View")</f>
        <v/>
      </c>
      <c r="N5" t="inlineStr"/>
      <c r="O5" t="inlineStr">
        <is>
          <t>NEUTRAL</t>
        </is>
      </c>
      <c r="P5" t="inlineStr">
        <is>
          <t>INCLUDED</t>
        </is>
      </c>
      <c r="Q5" t="n">
        <v>-2.16</v>
      </c>
      <c r="R5" t="inlineStr">
        <is>
          <t>SuperTrend Stop Loss Exit</t>
        </is>
      </c>
      <c r="S5" t="n">
        <v>0.5809</v>
      </c>
      <c r="T5" t="n">
        <v>0.529</v>
      </c>
      <c r="U5" t="inlineStr">
        <is>
          <t>2026-02-12</t>
        </is>
      </c>
      <c r="V5" t="inlineStr">
        <is>
          <t>Below S1</t>
        </is>
      </c>
      <c r="W5" t="n">
        <v>25841.86</v>
      </c>
      <c r="X5" t="n">
        <v>26008.9</v>
      </c>
      <c r="Y5" t="n">
        <v>25899.3</v>
      </c>
      <c r="Z5" t="n">
        <v>26063.95</v>
      </c>
      <c r="AA5" t="n">
        <v>25844.75</v>
      </c>
      <c r="AB5" t="n">
        <v>26118.5</v>
      </c>
      <c r="AC5" t="n">
        <v>25789.7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realized_pnl_pct</t>
        </is>
      </c>
      <c r="O1" s="1" t="inlineStr">
        <is>
          <t>trade_status_reason</t>
        </is>
      </c>
      <c r="P1" s="1" t="inlineStr">
        <is>
          <t>market_sentiment</t>
        </is>
      </c>
      <c r="Q1" s="1" t="inlineStr">
        <is>
          <t>filter_status</t>
        </is>
      </c>
      <c r="R1" s="1" t="inlineStr">
        <is>
          <t>sentiment_pnl</t>
        </is>
      </c>
      <c r="S1" s="1" t="inlineStr">
        <is>
          <t>exit_reason</t>
        </is>
      </c>
      <c r="T1" s="1" t="inlineStr">
        <is>
          <t>demarker</t>
        </is>
      </c>
      <c r="U1" s="1" t="inlineStr">
        <is>
          <t>demarker_at_7pct</t>
        </is>
      </c>
      <c r="V1" s="1" t="inlineStr">
        <is>
          <t>date</t>
        </is>
      </c>
      <c r="W1" s="1" t="inlineStr">
        <is>
          <t>zone</t>
        </is>
      </c>
      <c r="X1" s="1" t="inlineStr">
        <is>
          <t>nifty_at_entry</t>
        </is>
      </c>
      <c r="Y1" s="1" t="inlineStr">
        <is>
          <t>R1</t>
        </is>
      </c>
      <c r="Z1" s="1" t="inlineStr">
        <is>
          <t>S1</t>
        </is>
      </c>
      <c r="AA1" s="1" t="inlineStr">
        <is>
          <t>R2</t>
        </is>
      </c>
      <c r="AB1" s="1" t="inlineStr">
        <is>
          <t>S2</t>
        </is>
      </c>
      <c r="AC1" s="1" t="inlineStr">
        <is>
          <t>R3</t>
        </is>
      </c>
      <c r="AD1" s="1" t="inlineStr">
        <is>
          <t>S3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realized_pnl_pct</t>
        </is>
      </c>
      <c r="O1" s="1" t="inlineStr">
        <is>
          <t>trade_status_reason</t>
        </is>
      </c>
      <c r="P1" s="1" t="inlineStr">
        <is>
          <t>market_sentiment</t>
        </is>
      </c>
      <c r="Q1" s="1" t="inlineStr">
        <is>
          <t>filter_status</t>
        </is>
      </c>
      <c r="R1" s="1" t="inlineStr">
        <is>
          <t>sentiment_pnl</t>
        </is>
      </c>
      <c r="S1" s="1" t="inlineStr">
        <is>
          <t>exit_reason</t>
        </is>
      </c>
      <c r="T1" s="1" t="inlineStr">
        <is>
          <t>demarker</t>
        </is>
      </c>
      <c r="U1" s="1" t="inlineStr">
        <is>
          <t>demarker_at_7pct</t>
        </is>
      </c>
      <c r="V1" s="1" t="inlineStr">
        <is>
          <t>date</t>
        </is>
      </c>
      <c r="W1" s="1" t="inlineStr">
        <is>
          <t>zone</t>
        </is>
      </c>
      <c r="X1" s="1" t="inlineStr">
        <is>
          <t>nifty_at_entry</t>
        </is>
      </c>
      <c r="Y1" s="1" t="inlineStr">
        <is>
          <t>R1</t>
        </is>
      </c>
      <c r="Z1" s="1" t="inlineStr">
        <is>
          <t>S1</t>
        </is>
      </c>
      <c r="AA1" s="1" t="inlineStr">
        <is>
          <t>R2</t>
        </is>
      </c>
      <c r="AB1" s="1" t="inlineStr">
        <is>
          <t>S2</t>
        </is>
      </c>
      <c r="AC1" s="1" t="inlineStr">
        <is>
          <t>R3</t>
        </is>
      </c>
      <c r="AD1" s="1" t="inlineStr">
        <is>
          <t>S3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trade_status_reason</t>
        </is>
      </c>
      <c r="O1" s="1" t="inlineStr">
        <is>
          <t>market_sentiment</t>
        </is>
      </c>
      <c r="P1" s="1" t="inlineStr">
        <is>
          <t>filter_status</t>
        </is>
      </c>
      <c r="Q1" s="1" t="inlineStr">
        <is>
          <t>sentiment_pnl</t>
        </is>
      </c>
      <c r="R1" s="1" t="inlineStr">
        <is>
          <t>exit_reason</t>
        </is>
      </c>
      <c r="S1" s="1" t="inlineStr">
        <is>
          <t>demarker</t>
        </is>
      </c>
      <c r="T1" s="1" t="inlineStr">
        <is>
          <t>demarker_at_7pct</t>
        </is>
      </c>
      <c r="U1" s="1" t="inlineStr">
        <is>
          <t>date</t>
        </is>
      </c>
      <c r="V1" s="1" t="inlineStr">
        <is>
          <t>zone</t>
        </is>
      </c>
      <c r="W1" s="1" t="inlineStr">
        <is>
          <t>nifty_at_entry</t>
        </is>
      </c>
      <c r="X1" s="1" t="inlineStr">
        <is>
          <t>R1</t>
        </is>
      </c>
      <c r="Y1" s="1" t="inlineStr">
        <is>
          <t>S1</t>
        </is>
      </c>
      <c r="Z1" s="1" t="inlineStr">
        <is>
          <t>R2</t>
        </is>
      </c>
      <c r="AA1" s="1" t="inlineStr">
        <is>
          <t>S2</t>
        </is>
      </c>
      <c r="AB1" s="1" t="inlineStr">
        <is>
          <t>R3</t>
        </is>
      </c>
      <c r="AC1" s="1" t="inlineStr">
        <is>
          <t>S3</t>
        </is>
      </c>
      <c r="AD1" s="1" t="inlineStr">
        <is>
          <t>realized_pnl_pct</t>
        </is>
      </c>
    </row>
    <row r="2">
      <c r="A2">
        <f>HYPERLINK("../../data/DEC09_DYNAMIC/DEC03/OTM/NIFTY25D0925950CE_strategy.csv", "NIFTY25D0925950CE")</f>
        <v/>
      </c>
      <c r="B2" t="inlineStr">
        <is>
          <t>CE</t>
        </is>
      </c>
      <c r="C2" t="inlineStr">
        <is>
          <t>14:42:01</t>
        </is>
      </c>
      <c r="D2" t="inlineStr">
        <is>
          <t>15:14:00</t>
        </is>
      </c>
      <c r="E2" t="n">
        <v>138.2</v>
      </c>
      <c r="F2" t="n">
        <v>170.25</v>
      </c>
      <c r="G2" t="n">
        <v>103137.53</v>
      </c>
      <c r="H2" t="n">
        <v>103137.53</v>
      </c>
      <c r="I2" t="n">
        <v>72196.27</v>
      </c>
      <c r="J2" t="inlineStr">
        <is>
          <t>EXECUTED</t>
        </is>
      </c>
      <c r="K2" t="n">
        <v>27.93</v>
      </c>
      <c r="L2" t="n">
        <v>-3.98</v>
      </c>
      <c r="M2">
        <f>HYPERLINK("../../data/DEC09_DYNAMIC/DEC03/OTM/NIFTY25D0925950CE_strategy.html", "View")</f>
        <v/>
      </c>
      <c r="N2" t="inlineStr"/>
      <c r="O2" t="inlineStr">
        <is>
          <t>NEUTRAL</t>
        </is>
      </c>
      <c r="P2" t="inlineStr">
        <is>
          <t>INCLUDED</t>
        </is>
      </c>
      <c r="Q2" t="n">
        <v>23.19</v>
      </c>
      <c r="R2" t="inlineStr">
        <is>
          <t>EOD Exit</t>
        </is>
      </c>
      <c r="S2" t="n">
        <v>0.4395</v>
      </c>
      <c r="T2" t="n">
        <v>0.9248</v>
      </c>
      <c r="U2" t="inlineStr">
        <is>
          <t>2025-12-03</t>
        </is>
      </c>
      <c r="V2" t="inlineStr">
        <is>
          <t>Below S1</t>
        </is>
      </c>
      <c r="W2" t="n">
        <v>25943.55</v>
      </c>
      <c r="X2" t="n">
        <v>26125.25</v>
      </c>
      <c r="Y2" t="n">
        <v>25968.5</v>
      </c>
      <c r="Z2" t="n">
        <v>26218.3</v>
      </c>
      <c r="AA2" t="n">
        <v>25904.8</v>
      </c>
      <c r="AB2" t="n">
        <v>26282</v>
      </c>
      <c r="AC2" t="n">
        <v>25811.75</v>
      </c>
      <c r="AD2" t="inlineStr"/>
    </row>
    <row r="3">
      <c r="A3">
        <f>HYPERLINK("../../data/DEC09_DYNAMIC/DEC03/OTM/NIFTY25D0925900PE_strategy.csv", "NIFTY25D0925900PE")</f>
        <v/>
      </c>
      <c r="B3" t="inlineStr">
        <is>
          <t>PE</t>
        </is>
      </c>
      <c r="C3" t="inlineStr">
        <is>
          <t>14:29:01</t>
        </is>
      </c>
      <c r="D3" t="inlineStr">
        <is>
          <t>14:53:00</t>
        </is>
      </c>
      <c r="E3" t="n">
        <v>88.09999999999999</v>
      </c>
      <c r="F3" t="n">
        <v>84.31999999999999</v>
      </c>
      <c r="G3" t="n">
        <v>83722.33</v>
      </c>
      <c r="H3" t="n">
        <v>100000</v>
      </c>
      <c r="I3" t="n">
        <v>70000</v>
      </c>
      <c r="J3" t="inlineStr">
        <is>
          <t>EXECUTED</t>
        </is>
      </c>
      <c r="K3" t="n">
        <v>6.13</v>
      </c>
      <c r="L3" t="n">
        <v>-8.4</v>
      </c>
      <c r="M3">
        <f>HYPERLINK("../../data/DEC09_DYNAMIC/DEC03/OTM/NIFTY25D0925900PE_strategy.html", "View")</f>
        <v/>
      </c>
      <c r="N3" t="inlineStr"/>
      <c r="O3" t="inlineStr">
        <is>
          <t>BEARISH</t>
        </is>
      </c>
      <c r="P3" t="inlineStr">
        <is>
          <t>INCLUDED (HYBRID_NEUTRAL_ZONE)</t>
        </is>
      </c>
      <c r="Q3" t="n">
        <v>-4.29</v>
      </c>
      <c r="R3" t="inlineStr">
        <is>
          <t>SuperTrend Stop Loss Exit</t>
        </is>
      </c>
      <c r="S3" t="n">
        <v>0.5607</v>
      </c>
      <c r="T3" t="inlineStr"/>
      <c r="U3" t="inlineStr">
        <is>
          <t>2025-12-03</t>
        </is>
      </c>
      <c r="V3" t="inlineStr">
        <is>
          <t>Below S1</t>
        </is>
      </c>
      <c r="W3" t="n">
        <v>25921.45</v>
      </c>
      <c r="X3" t="n">
        <v>26125.25</v>
      </c>
      <c r="Y3" t="n">
        <v>25968.5</v>
      </c>
      <c r="Z3" t="n">
        <v>26218.3</v>
      </c>
      <c r="AA3" t="n">
        <v>25904.8</v>
      </c>
      <c r="AB3" t="n">
        <v>26282</v>
      </c>
      <c r="AC3" t="n">
        <v>25811.75</v>
      </c>
      <c r="AD3" t="inlineStr"/>
    </row>
    <row r="4">
      <c r="A4">
        <f>HYPERLINK("../../data/DEC09_DYNAMIC/DEC03/OTM/NIFTY25D0925900PE_strategy.csv", "NIFTY25D0925900PE")</f>
        <v/>
      </c>
      <c r="B4" t="inlineStr">
        <is>
          <t>PE</t>
        </is>
      </c>
      <c r="C4" t="inlineStr">
        <is>
          <t>13:42:01</t>
        </is>
      </c>
      <c r="D4" t="inlineStr">
        <is>
          <t>14:05:00</t>
        </is>
      </c>
      <c r="E4" t="n">
        <v>90.2</v>
      </c>
      <c r="F4" t="n">
        <v>94.7</v>
      </c>
      <c r="G4" t="n">
        <v>87475</v>
      </c>
      <c r="H4" t="n">
        <v>100000</v>
      </c>
      <c r="I4" t="n">
        <v>70000</v>
      </c>
      <c r="J4" t="inlineStr">
        <is>
          <t>EXECUTED</t>
        </is>
      </c>
      <c r="K4" t="n">
        <v>16.41</v>
      </c>
      <c r="L4" t="n">
        <v>-4.27</v>
      </c>
      <c r="M4">
        <f>HYPERLINK("../../data/DEC09_DYNAMIC/DEC03/OTM/NIFTY25D0925900PE_strategy.html", "View")</f>
        <v/>
      </c>
      <c r="N4" t="inlineStr"/>
      <c r="O4" t="inlineStr">
        <is>
          <t>NEUTRAL</t>
        </is>
      </c>
      <c r="P4" t="inlineStr">
        <is>
          <t>INCLUDED</t>
        </is>
      </c>
      <c r="Q4" t="n">
        <v>4.99</v>
      </c>
      <c r="R4" t="inlineStr">
        <is>
          <t>SuperTrend Stop Loss Exit</t>
        </is>
      </c>
      <c r="S4" t="n">
        <v>0.3429</v>
      </c>
      <c r="T4" t="n">
        <v>0.5426</v>
      </c>
      <c r="U4" t="inlineStr">
        <is>
          <t>2025-12-03</t>
        </is>
      </c>
      <c r="V4" t="inlineStr">
        <is>
          <t>Below S1</t>
        </is>
      </c>
      <c r="W4" t="n">
        <v>25942.45</v>
      </c>
      <c r="X4" t="n">
        <v>26125.25</v>
      </c>
      <c r="Y4" t="n">
        <v>25968.5</v>
      </c>
      <c r="Z4" t="n">
        <v>26218.3</v>
      </c>
      <c r="AA4" t="n">
        <v>25904.8</v>
      </c>
      <c r="AB4" t="n">
        <v>26282</v>
      </c>
      <c r="AC4" t="n">
        <v>25811.75</v>
      </c>
      <c r="AD4" t="inlineStr"/>
    </row>
    <row r="5">
      <c r="A5">
        <f>HYPERLINK("../../data/DEC09_DYNAMIC/DEC03/OTM/NIFTY25D0925900PE_strategy.csv", "NIFTY25D0925900PE")</f>
        <v/>
      </c>
      <c r="B5" t="inlineStr">
        <is>
          <t>PE</t>
        </is>
      </c>
      <c r="C5" t="inlineStr">
        <is>
          <t>12:31:01</t>
        </is>
      </c>
      <c r="D5" t="inlineStr">
        <is>
          <t>13:03:00</t>
        </is>
      </c>
      <c r="E5" t="n">
        <v>89.75</v>
      </c>
      <c r="F5" t="n">
        <v>92.73</v>
      </c>
      <c r="G5" t="n">
        <v>83317.46000000001</v>
      </c>
      <c r="H5" t="n">
        <v>100000</v>
      </c>
      <c r="I5" t="n">
        <v>70000</v>
      </c>
      <c r="J5" t="inlineStr">
        <is>
          <t>EXECUTED</t>
        </is>
      </c>
      <c r="K5" t="n">
        <v>13.26</v>
      </c>
      <c r="L5" t="n">
        <v>-5.07</v>
      </c>
      <c r="M5">
        <f>HYPERLINK("../../data/DEC09_DYNAMIC/DEC03/OTM/NIFTY25D0925900PE_strategy.html", "View")</f>
        <v/>
      </c>
      <c r="N5" t="inlineStr"/>
      <c r="O5" t="inlineStr">
        <is>
          <t>BULLISH</t>
        </is>
      </c>
      <c r="P5" t="inlineStr">
        <is>
          <t>INCLUDED (HYBRID_NEUTRAL_ZONE)</t>
        </is>
      </c>
      <c r="Q5" t="n">
        <v>3.32</v>
      </c>
      <c r="R5" t="inlineStr">
        <is>
          <t>SuperTrend Stop Loss Exit</t>
        </is>
      </c>
      <c r="S5" t="n">
        <v>0.7614</v>
      </c>
      <c r="T5" t="n">
        <v>0.7706</v>
      </c>
      <c r="U5" t="inlineStr">
        <is>
          <t>2025-12-03</t>
        </is>
      </c>
      <c r="V5" t="inlineStr">
        <is>
          <t>Below S1</t>
        </is>
      </c>
      <c r="W5" t="n">
        <v>25941.55</v>
      </c>
      <c r="X5" t="n">
        <v>26125.25</v>
      </c>
      <c r="Y5" t="n">
        <v>25968.5</v>
      </c>
      <c r="Z5" t="n">
        <v>26218.3</v>
      </c>
      <c r="AA5" t="n">
        <v>25904.8</v>
      </c>
      <c r="AB5" t="n">
        <v>26282</v>
      </c>
      <c r="AC5" t="n">
        <v>25811.75</v>
      </c>
      <c r="AD5" t="inlineStr"/>
    </row>
    <row r="6">
      <c r="A6">
        <f>HYPERLINK("../../data/DEC09_DYNAMIC/DEC03/OTM/NIFTY25D0925900PE_strategy.csv", "NIFTY25D0925900PE")</f>
        <v/>
      </c>
      <c r="B6" t="inlineStr">
        <is>
          <t>PE</t>
        </is>
      </c>
      <c r="C6" t="inlineStr">
        <is>
          <t>11:06:01</t>
        </is>
      </c>
      <c r="D6" t="inlineStr">
        <is>
          <t>11:29:00</t>
        </is>
      </c>
      <c r="E6" t="n">
        <v>107.25</v>
      </c>
      <c r="F6" t="n">
        <v>104.66</v>
      </c>
      <c r="G6" t="n">
        <v>80640.21000000001</v>
      </c>
      <c r="H6" t="n">
        <v>100000</v>
      </c>
      <c r="I6" t="n">
        <v>70000</v>
      </c>
      <c r="J6" t="inlineStr">
        <is>
          <t>EXECUTED</t>
        </is>
      </c>
      <c r="K6" t="n">
        <v>6.81</v>
      </c>
      <c r="L6" t="n">
        <v>-5.69</v>
      </c>
      <c r="M6">
        <f>HYPERLINK("../../data/DEC09_DYNAMIC/DEC03/OTM/NIFTY25D0925900PE_strategy.html", "View")</f>
        <v/>
      </c>
      <c r="N6" t="inlineStr"/>
      <c r="O6" t="inlineStr">
        <is>
          <t>NEUTRAL</t>
        </is>
      </c>
      <c r="P6" t="inlineStr">
        <is>
          <t>INCLUDED</t>
        </is>
      </c>
      <c r="Q6" t="n">
        <v>-2.41</v>
      </c>
      <c r="R6" t="inlineStr">
        <is>
          <t>SuperTrend Stop Loss Exit</t>
        </is>
      </c>
      <c r="S6" t="n">
        <v>0.5862000000000001</v>
      </c>
      <c r="T6" t="inlineStr"/>
      <c r="U6" t="inlineStr">
        <is>
          <t>2025-12-03</t>
        </is>
      </c>
      <c r="V6" t="inlineStr">
        <is>
          <t>Below S1</t>
        </is>
      </c>
      <c r="W6" t="n">
        <v>25908.85</v>
      </c>
      <c r="X6" t="n">
        <v>26125.25</v>
      </c>
      <c r="Y6" t="n">
        <v>25968.5</v>
      </c>
      <c r="Z6" t="n">
        <v>26218.3</v>
      </c>
      <c r="AA6" t="n">
        <v>25904.8</v>
      </c>
      <c r="AB6" t="n">
        <v>26282</v>
      </c>
      <c r="AC6" t="n">
        <v>25811.75</v>
      </c>
      <c r="AD6" t="inlineStr"/>
    </row>
    <row r="7">
      <c r="A7">
        <f>HYPERLINK("../../data/DEC09_DYNAMIC/DEC03/OTM/NIFTY25D0925950CE_strategy.csv", "NIFTY25D0925950CE")</f>
        <v/>
      </c>
      <c r="B7" t="inlineStr">
        <is>
          <t>CE</t>
        </is>
      </c>
      <c r="C7" t="inlineStr">
        <is>
          <t>10:52:01</t>
        </is>
      </c>
      <c r="D7" t="inlineStr">
        <is>
          <t>11:20:00</t>
        </is>
      </c>
      <c r="E7" t="n">
        <v>136.85</v>
      </c>
      <c r="F7" t="n">
        <v>131.9</v>
      </c>
      <c r="G7" t="n">
        <v>82631.63</v>
      </c>
      <c r="H7" t="n">
        <v>100000</v>
      </c>
      <c r="I7" t="n">
        <v>70000</v>
      </c>
      <c r="J7" t="inlineStr">
        <is>
          <t>EXECUTED</t>
        </is>
      </c>
      <c r="K7" t="n">
        <v>3.03</v>
      </c>
      <c r="L7" t="n">
        <v>-3.87</v>
      </c>
      <c r="M7">
        <f>HYPERLINK("../../data/DEC09_DYNAMIC/DEC03/OTM/NIFTY25D0925950CE_strategy.html", "View")</f>
        <v/>
      </c>
      <c r="N7" t="inlineStr"/>
      <c r="O7" t="inlineStr">
        <is>
          <t>BULLISH</t>
        </is>
      </c>
      <c r="P7" t="inlineStr">
        <is>
          <t>INCLUDED (HYBRID_NEUTRAL_ZONE)</t>
        </is>
      </c>
      <c r="Q7" t="n">
        <v>-3.62</v>
      </c>
      <c r="R7" t="inlineStr">
        <is>
          <t>SuperTrend Stop Loss Exit</t>
        </is>
      </c>
      <c r="S7" t="n">
        <v>0.4163</v>
      </c>
      <c r="T7" t="inlineStr"/>
      <c r="U7" t="inlineStr">
        <is>
          <t>2025-12-03</t>
        </is>
      </c>
      <c r="V7" t="inlineStr">
        <is>
          <t>Below S1</t>
        </is>
      </c>
      <c r="W7" t="n">
        <v>25916.75</v>
      </c>
      <c r="X7" t="n">
        <v>26125.25</v>
      </c>
      <c r="Y7" t="n">
        <v>25968.5</v>
      </c>
      <c r="Z7" t="n">
        <v>26218.3</v>
      </c>
      <c r="AA7" t="n">
        <v>25904.8</v>
      </c>
      <c r="AB7" t="n">
        <v>26282</v>
      </c>
      <c r="AC7" t="n">
        <v>25811.75</v>
      </c>
      <c r="AD7" t="inlineStr"/>
    </row>
    <row r="8">
      <c r="A8">
        <f>HYPERLINK("../../data/DEC09_DYNAMIC/DEC03/OTM/NIFTY25D0925900PE_strategy.csv", "NIFTY25D0925900PE")</f>
        <v/>
      </c>
      <c r="B8" t="inlineStr">
        <is>
          <t>PE</t>
        </is>
      </c>
      <c r="C8" t="inlineStr">
        <is>
          <t>10:31:01</t>
        </is>
      </c>
      <c r="D8" t="inlineStr">
        <is>
          <t>10:54:00</t>
        </is>
      </c>
      <c r="E8" t="n">
        <v>106.35</v>
      </c>
      <c r="F8" t="n">
        <v>104.3</v>
      </c>
      <c r="G8" t="n">
        <v>85735.25</v>
      </c>
      <c r="H8" t="n">
        <v>100000</v>
      </c>
      <c r="I8" t="n">
        <v>70000</v>
      </c>
      <c r="J8" t="inlineStr">
        <is>
          <t>EXECUTED</t>
        </is>
      </c>
      <c r="K8" t="n">
        <v>8.039999999999999</v>
      </c>
      <c r="L8" t="n">
        <v>-6.86</v>
      </c>
      <c r="M8">
        <f>HYPERLINK("../../data/DEC09_DYNAMIC/DEC03/OTM/NIFTY25D0925900PE_strategy.html", "View")</f>
        <v/>
      </c>
      <c r="N8" t="inlineStr"/>
      <c r="O8" t="inlineStr">
        <is>
          <t>BEARISH</t>
        </is>
      </c>
      <c r="P8" t="inlineStr">
        <is>
          <t>INCLUDED (HYBRID_NEUTRAL_ZONE)</t>
        </is>
      </c>
      <c r="Q8" t="n">
        <v>-1.93</v>
      </c>
      <c r="R8" t="inlineStr">
        <is>
          <t>Dynamic Trailing MA (Fast/Slow MA)</t>
        </is>
      </c>
      <c r="S8" t="n">
        <v>0.3673</v>
      </c>
      <c r="T8" t="n">
        <v>0.7763</v>
      </c>
      <c r="U8" t="inlineStr">
        <is>
          <t>2025-12-03</t>
        </is>
      </c>
      <c r="V8" t="inlineStr">
        <is>
          <t>Below S1</t>
        </is>
      </c>
      <c r="W8" t="n">
        <v>25926.35</v>
      </c>
      <c r="X8" t="n">
        <v>26125.25</v>
      </c>
      <c r="Y8" t="n">
        <v>25968.5</v>
      </c>
      <c r="Z8" t="n">
        <v>26218.3</v>
      </c>
      <c r="AA8" t="n">
        <v>25904.8</v>
      </c>
      <c r="AB8" t="n">
        <v>26282</v>
      </c>
      <c r="AC8" t="n">
        <v>25811.75</v>
      </c>
      <c r="AD8" t="inlineStr"/>
    </row>
    <row r="9">
      <c r="A9">
        <f>HYPERLINK("../../data/DEC09_DYNAMIC/DEC03/OTM/NIFTY25D0925950CE_strategy.csv", "NIFTY25D0925950CE")</f>
        <v/>
      </c>
      <c r="B9" t="inlineStr">
        <is>
          <t>CE</t>
        </is>
      </c>
      <c r="C9" t="inlineStr">
        <is>
          <t>10:14:01</t>
        </is>
      </c>
      <c r="D9" t="inlineStr">
        <is>
          <t>10:42:00</t>
        </is>
      </c>
      <c r="E9" t="n">
        <v>139.2</v>
      </c>
      <c r="F9" t="n">
        <v>130.15</v>
      </c>
      <c r="G9" t="n">
        <v>87422.5</v>
      </c>
      <c r="H9" t="n">
        <v>100000</v>
      </c>
      <c r="I9" t="n">
        <v>70000</v>
      </c>
      <c r="J9" t="inlineStr">
        <is>
          <t>EXECUTED</t>
        </is>
      </c>
      <c r="K9" t="n">
        <v>5.5</v>
      </c>
      <c r="L9" t="n">
        <v>-3.66</v>
      </c>
      <c r="M9">
        <f>HYPERLINK("../../data/DEC09_DYNAMIC/DEC03/OTM/NIFTY25D0925950CE_strategy.html", "View")</f>
        <v/>
      </c>
      <c r="N9" t="inlineStr"/>
      <c r="O9" t="inlineStr">
        <is>
          <t>BULLISH</t>
        </is>
      </c>
      <c r="P9" t="inlineStr">
        <is>
          <t>INCLUDED (HYBRID_NEUTRAL_ZONE)</t>
        </is>
      </c>
      <c r="Q9" t="n">
        <v>-6.5</v>
      </c>
      <c r="R9" t="inlineStr">
        <is>
          <t>Fixed Stop Loss</t>
        </is>
      </c>
      <c r="S9" t="n">
        <v>0.2538</v>
      </c>
      <c r="T9" t="inlineStr"/>
      <c r="U9" t="inlineStr">
        <is>
          <t>2025-12-03</t>
        </is>
      </c>
      <c r="V9" t="inlineStr">
        <is>
          <t>Below S1</t>
        </is>
      </c>
      <c r="W9" t="n">
        <v>25928.2</v>
      </c>
      <c r="X9" t="n">
        <v>26125.25</v>
      </c>
      <c r="Y9" t="n">
        <v>25968.5</v>
      </c>
      <c r="Z9" t="n">
        <v>26218.3</v>
      </c>
      <c r="AA9" t="n">
        <v>25904.8</v>
      </c>
      <c r="AB9" t="n">
        <v>26282</v>
      </c>
      <c r="AC9" t="n">
        <v>25811.75</v>
      </c>
      <c r="AD9" t="inlineStr"/>
    </row>
    <row r="10">
      <c r="A10">
        <f>HYPERLINK("../../data/DEC09_DYNAMIC/DEC03/OTM/NIFTY25D0925950CE_strategy.csv", "NIFTY25D0925950CE")</f>
        <v/>
      </c>
      <c r="B10" t="inlineStr">
        <is>
          <t>CE</t>
        </is>
      </c>
      <c r="C10" t="inlineStr">
        <is>
          <t>09:57:01</t>
        </is>
      </c>
      <c r="D10" t="inlineStr">
        <is>
          <t>10:03:00</t>
        </is>
      </c>
      <c r="E10" t="n">
        <v>154.35</v>
      </c>
      <c r="F10" t="n">
        <v>144.32</v>
      </c>
      <c r="G10" t="n">
        <v>93500</v>
      </c>
      <c r="H10" t="n">
        <v>100000</v>
      </c>
      <c r="I10" t="n">
        <v>70000</v>
      </c>
      <c r="J10" t="inlineStr">
        <is>
          <t>EXECUTED</t>
        </is>
      </c>
      <c r="K10" t="n">
        <v>2.72</v>
      </c>
      <c r="L10" t="n">
        <v>-4.18</v>
      </c>
      <c r="M10">
        <f>HYPERLINK("../../data/DEC09_DYNAMIC/DEC03/OTM/NIFTY25D0925950CE_strategy.html", "View")</f>
        <v/>
      </c>
      <c r="N10" t="inlineStr"/>
      <c r="O10" t="inlineStr">
        <is>
          <t>BULLISH</t>
        </is>
      </c>
      <c r="P10" t="inlineStr">
        <is>
          <t>INCLUDED (HYBRID_NEUTRAL_ZONE)</t>
        </is>
      </c>
      <c r="Q10" t="n">
        <v>-6.5</v>
      </c>
      <c r="R10" t="inlineStr">
        <is>
          <t>Fixed Stop Loss</t>
        </is>
      </c>
      <c r="S10" t="n">
        <v>0.522</v>
      </c>
      <c r="T10" t="inlineStr"/>
      <c r="U10" t="inlineStr">
        <is>
          <t>2025-12-03</t>
        </is>
      </c>
      <c r="V10" t="inlineStr">
        <is>
          <t>Below S1</t>
        </is>
      </c>
      <c r="W10" t="n">
        <v>25941.35</v>
      </c>
      <c r="X10" t="n">
        <v>26125.25</v>
      </c>
      <c r="Y10" t="n">
        <v>25968.5</v>
      </c>
      <c r="Z10" t="n">
        <v>26218.3</v>
      </c>
      <c r="AA10" t="n">
        <v>25904.8</v>
      </c>
      <c r="AB10" t="n">
        <v>26282</v>
      </c>
      <c r="AC10" t="n">
        <v>25811.75</v>
      </c>
      <c r="AD10" t="inlineStr"/>
    </row>
    <row r="11">
      <c r="A11">
        <f>HYPERLINK("../../data/DEC09_DYNAMIC/DEC08/OTM/NIFTY25D0925950PE_strategy.csv", "NIFTY25D0925950PE")</f>
        <v/>
      </c>
      <c r="B11" t="inlineStr">
        <is>
          <t>PE</t>
        </is>
      </c>
      <c r="C11" t="inlineStr">
        <is>
          <t>15:14:01</t>
        </is>
      </c>
      <c r="D11" t="inlineStr">
        <is>
          <t>15:15:00</t>
        </is>
      </c>
      <c r="E11" t="n">
        <v>55.75</v>
      </c>
      <c r="F11" t="n">
        <v>64.05</v>
      </c>
      <c r="G11" t="n">
        <v>224978.65</v>
      </c>
      <c r="H11" t="n">
        <v>242178.9</v>
      </c>
      <c r="I11" t="n">
        <v>169525.23</v>
      </c>
      <c r="J11" t="inlineStr">
        <is>
          <t>EXECUTED</t>
        </is>
      </c>
      <c r="K11" t="n">
        <v>17.76</v>
      </c>
      <c r="L11" t="n">
        <v>-9.51</v>
      </c>
      <c r="M11">
        <f>HYPERLINK("../../data/DEC09_DYNAMIC/DEC08/OTM/NIFTY25D0925950PE_strategy.html", "View")</f>
        <v/>
      </c>
      <c r="N11" t="inlineStr"/>
      <c r="O11" t="inlineStr">
        <is>
          <t>NEUTRAL</t>
        </is>
      </c>
      <c r="P11" t="inlineStr">
        <is>
          <t>INCLUDED</t>
        </is>
      </c>
      <c r="Q11" t="n">
        <v>14.89</v>
      </c>
      <c r="R11" t="inlineStr">
        <is>
          <t>EOD Exit</t>
        </is>
      </c>
      <c r="S11" t="n">
        <v>0.7131999999999999</v>
      </c>
      <c r="T11" t="n">
        <v>0.7891</v>
      </c>
      <c r="U11" t="inlineStr">
        <is>
          <t>2025-12-08</t>
        </is>
      </c>
      <c r="V11" t="inlineStr">
        <is>
          <t>Below S1</t>
        </is>
      </c>
      <c r="W11" t="n">
        <v>25971.15</v>
      </c>
      <c r="X11" t="n">
        <v>26264.25</v>
      </c>
      <c r="Y11" t="n">
        <v>26047</v>
      </c>
      <c r="Z11" t="n">
        <v>26342.05</v>
      </c>
      <c r="AA11" t="n">
        <v>25907.55</v>
      </c>
      <c r="AB11" t="n">
        <v>26481.5</v>
      </c>
      <c r="AC11" t="n">
        <v>25829.75</v>
      </c>
      <c r="AD11" t="inlineStr"/>
    </row>
    <row r="12">
      <c r="A12">
        <f>HYPERLINK("../../data/DEC09_DYNAMIC/DEC08/OTM/NIFTY25D0925950PE_strategy.csv", "NIFTY25D0925950PE")</f>
        <v/>
      </c>
      <c r="B12" t="inlineStr">
        <is>
          <t>PE</t>
        </is>
      </c>
      <c r="C12" t="inlineStr">
        <is>
          <t>14:57:01</t>
        </is>
      </c>
      <c r="D12" t="inlineStr">
        <is>
          <t>15:00:00</t>
        </is>
      </c>
      <c r="E12" t="n">
        <v>65</v>
      </c>
      <c r="F12" t="n">
        <v>59.8</v>
      </c>
      <c r="G12" t="n">
        <v>195820.91</v>
      </c>
      <c r="H12" t="n">
        <v>242178.9</v>
      </c>
      <c r="I12" t="n">
        <v>169525.23</v>
      </c>
      <c r="J12" t="inlineStr">
        <is>
          <t>EXECUTED</t>
        </is>
      </c>
      <c r="K12" t="n">
        <v>4.77</v>
      </c>
      <c r="L12" t="n">
        <v>-16.38</v>
      </c>
      <c r="M12">
        <f>HYPERLINK("../../data/DEC09_DYNAMIC/DEC08/OTM/NIFTY25D0925950PE_strategy.html", "View")</f>
        <v/>
      </c>
      <c r="N12" t="inlineStr"/>
      <c r="O12" t="inlineStr">
        <is>
          <t>BEARISH</t>
        </is>
      </c>
      <c r="P12" t="inlineStr">
        <is>
          <t>INCLUDED (HYBRID_NEUTRAL_ZONE)</t>
        </is>
      </c>
      <c r="Q12" t="n">
        <v>-8</v>
      </c>
      <c r="R12" t="inlineStr">
        <is>
          <t>Fixed Stop Loss</t>
        </is>
      </c>
      <c r="S12" t="n">
        <v>0.4154</v>
      </c>
      <c r="T12" t="inlineStr"/>
      <c r="U12" t="inlineStr">
        <is>
          <t>2025-12-08</t>
        </is>
      </c>
      <c r="V12" t="inlineStr">
        <is>
          <t>Below S1</t>
        </is>
      </c>
      <c r="W12" t="n">
        <v>25935.1</v>
      </c>
      <c r="X12" t="n">
        <v>26264.25</v>
      </c>
      <c r="Y12" t="n">
        <v>26047</v>
      </c>
      <c r="Z12" t="n">
        <v>26342.05</v>
      </c>
      <c r="AA12" t="n">
        <v>25907.55</v>
      </c>
      <c r="AB12" t="n">
        <v>26481.5</v>
      </c>
      <c r="AC12" t="n">
        <v>25829.75</v>
      </c>
      <c r="AD12" t="inlineStr"/>
    </row>
    <row r="13">
      <c r="A13">
        <f>HYPERLINK("../../data/DEC09_DYNAMIC/DEC08/OTM/NIFTY25D0925950CE_strategy.csv", "NIFTY25D0925950CE")</f>
        <v/>
      </c>
      <c r="B13" t="inlineStr">
        <is>
          <t>CE</t>
        </is>
      </c>
      <c r="C13" t="inlineStr">
        <is>
          <t>14:20:01</t>
        </is>
      </c>
      <c r="D13" t="inlineStr">
        <is>
          <t>14:57:00</t>
        </is>
      </c>
      <c r="E13" t="n">
        <v>66.7</v>
      </c>
      <c r="F13" t="n">
        <v>69.27</v>
      </c>
      <c r="G13" t="n">
        <v>212848.82</v>
      </c>
      <c r="H13" t="n">
        <v>242178.9</v>
      </c>
      <c r="I13" t="n">
        <v>169525.23</v>
      </c>
      <c r="J13" t="inlineStr">
        <is>
          <t>EXECUTED</t>
        </is>
      </c>
      <c r="K13" t="n">
        <v>23.91</v>
      </c>
      <c r="L13" t="n">
        <v>-16.57</v>
      </c>
      <c r="M13">
        <f>HYPERLINK("../../data/DEC09_DYNAMIC/DEC08/OTM/NIFTY25D0925950CE_strategy.html", "View")</f>
        <v/>
      </c>
      <c r="N13" t="inlineStr"/>
      <c r="O13" t="inlineStr">
        <is>
          <t>NEUTRAL</t>
        </is>
      </c>
      <c r="P13" t="inlineStr">
        <is>
          <t>INCLUDED</t>
        </is>
      </c>
      <c r="Q13" t="n">
        <v>3.85</v>
      </c>
      <c r="R13" t="inlineStr">
        <is>
          <t>SuperTrend Stop Loss Exit</t>
        </is>
      </c>
      <c r="S13" t="n">
        <v>0.4812</v>
      </c>
      <c r="T13" t="n">
        <v>0.4271</v>
      </c>
      <c r="U13" t="inlineStr">
        <is>
          <t>2025-12-08</t>
        </is>
      </c>
      <c r="V13" t="inlineStr">
        <is>
          <t>Below S1</t>
        </is>
      </c>
      <c r="W13" t="n">
        <v>25921.25</v>
      </c>
      <c r="X13" t="n">
        <v>26264.25</v>
      </c>
      <c r="Y13" t="n">
        <v>26047</v>
      </c>
      <c r="Z13" t="n">
        <v>26342.05</v>
      </c>
      <c r="AA13" t="n">
        <v>25907.55</v>
      </c>
      <c r="AB13" t="n">
        <v>26481.5</v>
      </c>
      <c r="AC13" t="n">
        <v>25829.75</v>
      </c>
      <c r="AD13" t="inlineStr"/>
    </row>
    <row r="14">
      <c r="A14">
        <f>HYPERLINK("../../data/DEC09_DYNAMIC/DEC08/OTM/NIFTY25D0925950CE_strategy.csv", "NIFTY25D0925950CE")</f>
        <v/>
      </c>
      <c r="B14" t="inlineStr">
        <is>
          <t>CE</t>
        </is>
      </c>
      <c r="C14" t="inlineStr">
        <is>
          <t>14:11:01</t>
        </is>
      </c>
      <c r="D14" t="inlineStr">
        <is>
          <t>14:13:00</t>
        </is>
      </c>
      <c r="E14" t="n">
        <v>72.45</v>
      </c>
      <c r="F14" t="n">
        <v>66.65000000000001</v>
      </c>
      <c r="G14" t="n">
        <v>204957.94</v>
      </c>
      <c r="H14" t="n">
        <v>242178.9</v>
      </c>
      <c r="I14" t="n">
        <v>169525.23</v>
      </c>
      <c r="J14" t="inlineStr">
        <is>
          <t>EXECUTED</t>
        </is>
      </c>
      <c r="K14" t="n">
        <v>5.31</v>
      </c>
      <c r="L14" t="n">
        <v>-11.11</v>
      </c>
      <c r="M14">
        <f>HYPERLINK("../../data/DEC09_DYNAMIC/DEC08/OTM/NIFTY25D0925950CE_strategy.html", "View")</f>
        <v/>
      </c>
      <c r="N14" t="inlineStr"/>
      <c r="O14" t="inlineStr">
        <is>
          <t>BULLISH</t>
        </is>
      </c>
      <c r="P14" t="inlineStr">
        <is>
          <t>INCLUDED (HYBRID_NEUTRAL_ZONE)</t>
        </is>
      </c>
      <c r="Q14" t="n">
        <v>-8.01</v>
      </c>
      <c r="R14" t="inlineStr">
        <is>
          <t>Fixed Stop Loss</t>
        </is>
      </c>
      <c r="S14" t="n">
        <v>0.5417</v>
      </c>
      <c r="T14" t="inlineStr"/>
      <c r="U14" t="inlineStr">
        <is>
          <t>2025-12-08</t>
        </is>
      </c>
      <c r="V14" t="inlineStr">
        <is>
          <t>Below S1</t>
        </is>
      </c>
      <c r="W14" t="n">
        <v>25933.65</v>
      </c>
      <c r="X14" t="n">
        <v>26264.25</v>
      </c>
      <c r="Y14" t="n">
        <v>26047</v>
      </c>
      <c r="Z14" t="n">
        <v>26342.05</v>
      </c>
      <c r="AA14" t="n">
        <v>25907.55</v>
      </c>
      <c r="AB14" t="n">
        <v>26481.5</v>
      </c>
      <c r="AC14" t="n">
        <v>25829.75</v>
      </c>
      <c r="AD14" t="inlineStr"/>
    </row>
    <row r="15">
      <c r="A15">
        <f>HYPERLINK("../../data/DEC09_DYNAMIC/DEC08/OTM/NIFTY25D0925950CE_strategy.csv", "NIFTY25D0925950CE")</f>
        <v/>
      </c>
      <c r="B15" t="inlineStr">
        <is>
          <t>CE</t>
        </is>
      </c>
      <c r="C15" t="inlineStr">
        <is>
          <t>13:59:01</t>
        </is>
      </c>
      <c r="D15" t="inlineStr">
        <is>
          <t>14:00:00</t>
        </is>
      </c>
      <c r="E15" t="n">
        <v>73</v>
      </c>
      <c r="F15" t="n">
        <v>67.16</v>
      </c>
      <c r="G15" t="n">
        <v>222804.58</v>
      </c>
      <c r="H15" t="n">
        <v>242178.9</v>
      </c>
      <c r="I15" t="n">
        <v>169525.23</v>
      </c>
      <c r="J15" t="inlineStr">
        <is>
          <t>EXECUTED</t>
        </is>
      </c>
      <c r="K15" t="n">
        <v>0</v>
      </c>
      <c r="L15" t="n">
        <v>-10.34</v>
      </c>
      <c r="M15">
        <f>HYPERLINK("../../data/DEC09_DYNAMIC/DEC08/OTM/NIFTY25D0925950CE_strategy.html", "View")</f>
        <v/>
      </c>
      <c r="N15" t="inlineStr"/>
      <c r="O15" t="inlineStr">
        <is>
          <t>NEUTRAL</t>
        </is>
      </c>
      <c r="P15" t="inlineStr">
        <is>
          <t>INCLUDED</t>
        </is>
      </c>
      <c r="Q15" t="n">
        <v>-8</v>
      </c>
      <c r="R15" t="inlineStr">
        <is>
          <t>Fixed Stop Loss</t>
        </is>
      </c>
      <c r="S15" t="n">
        <v>0.5223</v>
      </c>
      <c r="T15" t="inlineStr"/>
      <c r="U15" t="inlineStr">
        <is>
          <t>2025-12-08</t>
        </is>
      </c>
      <c r="V15" t="inlineStr">
        <is>
          <t>Below S1</t>
        </is>
      </c>
      <c r="W15" t="n">
        <v>25929.65</v>
      </c>
      <c r="X15" t="n">
        <v>26264.25</v>
      </c>
      <c r="Y15" t="n">
        <v>26047</v>
      </c>
      <c r="Z15" t="n">
        <v>26342.05</v>
      </c>
      <c r="AA15" t="n">
        <v>25907.55</v>
      </c>
      <c r="AB15" t="n">
        <v>26481.5</v>
      </c>
      <c r="AC15" t="n">
        <v>25829.75</v>
      </c>
      <c r="AD15" t="inlineStr"/>
    </row>
    <row r="16">
      <c r="A16">
        <f>HYPERLINK("../../data/DEC09_DYNAMIC/DEC08/OTM/NIFTY25D0926000PE_strategy.csv", "NIFTY25D0926000PE")</f>
        <v/>
      </c>
      <c r="B16" t="inlineStr">
        <is>
          <t>PE</t>
        </is>
      </c>
      <c r="C16" t="inlineStr">
        <is>
          <t>13:16:01</t>
        </is>
      </c>
      <c r="D16" t="inlineStr">
        <is>
          <t>13:55:00</t>
        </is>
      </c>
      <c r="E16" t="n">
        <v>37.9</v>
      </c>
      <c r="F16" t="n">
        <v>95.34999999999999</v>
      </c>
      <c r="G16" t="n">
        <v>242178.9</v>
      </c>
      <c r="H16" t="n">
        <v>242178.9</v>
      </c>
      <c r="I16" t="n">
        <v>169525.23</v>
      </c>
      <c r="J16" t="inlineStr">
        <is>
          <t>EXECUTED</t>
        </is>
      </c>
      <c r="K16" t="n">
        <v>7391.11</v>
      </c>
      <c r="L16" t="n">
        <v>-13.06</v>
      </c>
      <c r="M16">
        <f>HYPERLINK("../../data/DEC09_DYNAMIC/DEC08/OTM/NIFTY25D0926000PE_strategy.html", "View")</f>
        <v/>
      </c>
      <c r="N16" t="inlineStr"/>
      <c r="O16" t="inlineStr">
        <is>
          <t>NEUTRAL</t>
        </is>
      </c>
      <c r="P16" t="inlineStr">
        <is>
          <t>INCLUDED</t>
        </is>
      </c>
      <c r="Q16" t="n">
        <v>151.58</v>
      </c>
      <c r="R16" t="inlineStr">
        <is>
          <t>Dynamic Trailing MA (Fast/Slow MA)</t>
        </is>
      </c>
      <c r="S16" t="n">
        <v>0.4845</v>
      </c>
      <c r="T16" t="n">
        <v>0.554</v>
      </c>
      <c r="U16" t="inlineStr">
        <is>
          <t>2025-12-08</t>
        </is>
      </c>
      <c r="V16" t="inlineStr">
        <is>
          <t>Below S1</t>
        </is>
      </c>
      <c r="W16" t="n">
        <v>26020.35</v>
      </c>
      <c r="X16" t="n">
        <v>26264.25</v>
      </c>
      <c r="Y16" t="n">
        <v>26047</v>
      </c>
      <c r="Z16" t="n">
        <v>26342.05</v>
      </c>
      <c r="AA16" t="n">
        <v>25907.55</v>
      </c>
      <c r="AB16" t="n">
        <v>26481.5</v>
      </c>
      <c r="AC16" t="n">
        <v>25829.75</v>
      </c>
      <c r="AD16" t="inlineStr"/>
    </row>
    <row r="17">
      <c r="A17">
        <f>HYPERLINK("../../data/DEC09_DYNAMIC/DEC08/OTM/NIFTY25D0926050CE_strategy.csv", "NIFTY25D0926050CE")</f>
        <v/>
      </c>
      <c r="B17" t="inlineStr">
        <is>
          <t>CE</t>
        </is>
      </c>
      <c r="C17" t="inlineStr">
        <is>
          <t>12:25:01</t>
        </is>
      </c>
      <c r="D17" t="inlineStr">
        <is>
          <t>12:27:00</t>
        </is>
      </c>
      <c r="E17" t="n">
        <v>84.45</v>
      </c>
      <c r="F17" t="n">
        <v>77.69</v>
      </c>
      <c r="G17" t="n">
        <v>71560.49000000001</v>
      </c>
      <c r="H17" t="n">
        <v>100000</v>
      </c>
      <c r="I17" t="n">
        <v>70000</v>
      </c>
      <c r="J17" t="inlineStr">
        <is>
          <t>EXECUTED</t>
        </is>
      </c>
      <c r="K17" t="n">
        <v>0</v>
      </c>
      <c r="L17" t="n">
        <v>-6.1</v>
      </c>
      <c r="M17">
        <f>HYPERLINK("../../data/DEC09_DYNAMIC/DEC08/OTM/NIFTY25D0926050CE_strategy.html", "View")</f>
        <v/>
      </c>
      <c r="N17" t="inlineStr"/>
      <c r="O17" t="inlineStr">
        <is>
          <t>BULLISH</t>
        </is>
      </c>
      <c r="P17" t="inlineStr">
        <is>
          <t>INCLUDED (HYBRID_v5_BULLISH_CE)</t>
        </is>
      </c>
      <c r="Q17" t="n">
        <v>-8</v>
      </c>
      <c r="R17" t="inlineStr">
        <is>
          <t>Fixed Stop Loss</t>
        </is>
      </c>
      <c r="S17" t="n">
        <v>0.3228</v>
      </c>
      <c r="T17" t="inlineStr"/>
      <c r="U17" t="inlineStr">
        <is>
          <t>2025-12-08</t>
        </is>
      </c>
      <c r="V17" t="inlineStr">
        <is>
          <t>Below S1</t>
        </is>
      </c>
      <c r="W17" t="n">
        <v>26041.2</v>
      </c>
      <c r="X17" t="n">
        <v>26264.25</v>
      </c>
      <c r="Y17" t="n">
        <v>26047</v>
      </c>
      <c r="Z17" t="n">
        <v>26342.05</v>
      </c>
      <c r="AA17" t="n">
        <v>25907.55</v>
      </c>
      <c r="AB17" t="n">
        <v>26481.5</v>
      </c>
      <c r="AC17" t="n">
        <v>25829.75</v>
      </c>
      <c r="AD17" t="inlineStr"/>
    </row>
    <row r="18">
      <c r="A18">
        <f>HYPERLINK("../../data/DEC16_DYNAMIC/DEC15/OTM/NIFTY25D1626000CE_strategy.csv", "NIFTY25D1626000CE")</f>
        <v/>
      </c>
      <c r="B18" t="inlineStr">
        <is>
          <t>CE</t>
        </is>
      </c>
      <c r="C18" t="inlineStr">
        <is>
          <t>10:44:01</t>
        </is>
      </c>
      <c r="D18" t="inlineStr">
        <is>
          <t>11:11:00</t>
        </is>
      </c>
      <c r="E18" t="n">
        <v>52.7</v>
      </c>
      <c r="F18" t="n">
        <v>55.65</v>
      </c>
      <c r="G18" t="n">
        <v>104823.52</v>
      </c>
      <c r="H18" t="n">
        <v>113290</v>
      </c>
      <c r="I18" t="n">
        <v>79303</v>
      </c>
      <c r="J18" t="inlineStr">
        <is>
          <t>EXECUTED</t>
        </is>
      </c>
      <c r="K18" t="n">
        <v>25.43</v>
      </c>
      <c r="L18" t="n">
        <v>-15.46</v>
      </c>
      <c r="M18">
        <f>HYPERLINK("../../data/DEC16_DYNAMIC/DEC15/OTM/NIFTY25D1626000CE_strategy.html", "View")</f>
        <v/>
      </c>
      <c r="N18" t="inlineStr"/>
      <c r="O18" t="inlineStr">
        <is>
          <t>NEUTRAL</t>
        </is>
      </c>
      <c r="P18" t="inlineStr">
        <is>
          <t>INCLUDED</t>
        </is>
      </c>
      <c r="Q18" t="n">
        <v>5.6</v>
      </c>
      <c r="R18" t="inlineStr">
        <is>
          <t>Dynamic Trailing MA (Fast/Slow MA)</t>
        </is>
      </c>
      <c r="S18" t="n">
        <v>0.2962</v>
      </c>
      <c r="T18" t="n">
        <v>0.5737</v>
      </c>
      <c r="U18" t="inlineStr">
        <is>
          <t>2025-12-15</t>
        </is>
      </c>
      <c r="V18" t="inlineStr">
        <is>
          <t>Below S1</t>
        </is>
      </c>
      <c r="W18" t="n">
        <v>25968.15</v>
      </c>
      <c r="X18" t="n">
        <v>26090.22</v>
      </c>
      <c r="Y18" t="n">
        <v>25971.07</v>
      </c>
      <c r="Z18" t="n">
        <v>26133.48</v>
      </c>
      <c r="AA18" t="n">
        <v>25895.18</v>
      </c>
      <c r="AB18" t="n">
        <v>26209.37</v>
      </c>
      <c r="AC18" t="n">
        <v>25851.92</v>
      </c>
      <c r="AD18" t="inlineStr"/>
    </row>
    <row r="19">
      <c r="A19">
        <f>HYPERLINK("../../data/DEC16_DYNAMIC/DEC15/OTM/NIFTY25D1625950PE_strategy.csv", "NIFTY25D1625950PE")</f>
        <v/>
      </c>
      <c r="B19" t="inlineStr">
        <is>
          <t>PE</t>
        </is>
      </c>
      <c r="C19" t="inlineStr">
        <is>
          <t>10:38:01</t>
        </is>
      </c>
      <c r="D19" t="inlineStr">
        <is>
          <t>10:45:00</t>
        </is>
      </c>
      <c r="E19" t="n">
        <v>66.15000000000001</v>
      </c>
      <c r="F19" t="n">
        <v>57.96</v>
      </c>
      <c r="G19" t="n">
        <v>99264.7</v>
      </c>
      <c r="H19" t="n">
        <v>113290</v>
      </c>
      <c r="I19" t="n">
        <v>79303</v>
      </c>
      <c r="J19" t="inlineStr">
        <is>
          <t>EXECUTED</t>
        </is>
      </c>
      <c r="K19" t="n">
        <v>8.69</v>
      </c>
      <c r="L19" t="n">
        <v>-14.21</v>
      </c>
      <c r="M19">
        <f>HYPERLINK("../../data/DEC16_DYNAMIC/DEC15/OTM/NIFTY25D1625950PE_strategy.html", "View")</f>
        <v/>
      </c>
      <c r="N19" t="inlineStr"/>
      <c r="O19" t="inlineStr">
        <is>
          <t>NEUTRAL</t>
        </is>
      </c>
      <c r="P19" t="inlineStr">
        <is>
          <t>INCLUDED</t>
        </is>
      </c>
      <c r="Q19" t="n">
        <v>-12.38</v>
      </c>
      <c r="R19" t="inlineStr">
        <is>
          <t>SuperTrend Stop Loss Exit</t>
        </is>
      </c>
      <c r="S19" t="n">
        <v>0.5611</v>
      </c>
      <c r="T19" t="n">
        <v>0.7212</v>
      </c>
      <c r="U19" t="inlineStr">
        <is>
          <t>2025-12-15</t>
        </is>
      </c>
      <c r="V19" t="inlineStr">
        <is>
          <t>Below S1</t>
        </is>
      </c>
      <c r="W19" t="n">
        <v>25961.35</v>
      </c>
      <c r="X19" t="n">
        <v>26090.22</v>
      </c>
      <c r="Y19" t="n">
        <v>25971.07</v>
      </c>
      <c r="Z19" t="n">
        <v>26133.48</v>
      </c>
      <c r="AA19" t="n">
        <v>25895.18</v>
      </c>
      <c r="AB19" t="n">
        <v>26209.37</v>
      </c>
      <c r="AC19" t="n">
        <v>25851.92</v>
      </c>
      <c r="AD19" t="inlineStr"/>
    </row>
    <row r="20">
      <c r="A20">
        <f>HYPERLINK("../../data/DEC16_DYNAMIC/DEC15/OTM/NIFTY25D1625950CE_strategy.csv", "NIFTY25D1625950CE")</f>
        <v/>
      </c>
      <c r="B20" t="inlineStr">
        <is>
          <t>CE</t>
        </is>
      </c>
      <c r="C20" t="inlineStr">
        <is>
          <t>09:48:01</t>
        </is>
      </c>
      <c r="D20" t="inlineStr">
        <is>
          <t>10:18:00</t>
        </is>
      </c>
      <c r="E20" t="n">
        <v>68.84999999999999</v>
      </c>
      <c r="F20" t="n">
        <v>78</v>
      </c>
      <c r="G20" t="n">
        <v>113290</v>
      </c>
      <c r="H20" t="n">
        <v>113290</v>
      </c>
      <c r="I20" t="n">
        <v>79303</v>
      </c>
      <c r="J20" t="inlineStr">
        <is>
          <t>EXECUTED</t>
        </is>
      </c>
      <c r="K20" t="n">
        <v>19.83</v>
      </c>
      <c r="L20" t="n">
        <v>-17.94</v>
      </c>
      <c r="M20">
        <f>HYPERLINK("../../data/DEC16_DYNAMIC/DEC15/OTM/NIFTY25D1625950CE_strategy.html", "View")</f>
        <v/>
      </c>
      <c r="N20" t="inlineStr"/>
      <c r="O20" t="inlineStr">
        <is>
          <t>NEUTRAL</t>
        </is>
      </c>
      <c r="P20" t="inlineStr">
        <is>
          <t>INCLUDED</t>
        </is>
      </c>
      <c r="Q20" t="n">
        <v>13.29</v>
      </c>
      <c r="R20" t="inlineStr">
        <is>
          <t>Dynamic Trailing MA (Fast/Slow MA)</t>
        </is>
      </c>
      <c r="S20" t="n">
        <v>0.5935</v>
      </c>
      <c r="T20" t="n">
        <v>0.6798999999999999</v>
      </c>
      <c r="U20" t="inlineStr">
        <is>
          <t>2025-12-15</t>
        </is>
      </c>
      <c r="V20" t="inlineStr">
        <is>
          <t>Below S1</t>
        </is>
      </c>
      <c r="W20" t="n">
        <v>25932.9</v>
      </c>
      <c r="X20" t="n">
        <v>26090.22</v>
      </c>
      <c r="Y20" t="n">
        <v>25971.07</v>
      </c>
      <c r="Z20" t="n">
        <v>26133.48</v>
      </c>
      <c r="AA20" t="n">
        <v>25895.18</v>
      </c>
      <c r="AB20" t="n">
        <v>26209.37</v>
      </c>
      <c r="AC20" t="n">
        <v>25851.92</v>
      </c>
      <c r="AD20" t="inlineStr"/>
    </row>
    <row r="21">
      <c r="A21">
        <f>HYPERLINK("../../data/JAN13_DYNAMIC/JAN07/OTM/NIFTY2611326100PE_strategy.csv", "NIFTY2611326100PE")</f>
        <v/>
      </c>
      <c r="B21" t="inlineStr">
        <is>
          <t>PE</t>
        </is>
      </c>
      <c r="C21" t="inlineStr">
        <is>
          <t>14:49:01</t>
        </is>
      </c>
      <c r="D21" t="inlineStr">
        <is>
          <t>14:52:00</t>
        </is>
      </c>
      <c r="E21" t="n">
        <v>81.65000000000001</v>
      </c>
      <c r="F21" t="n">
        <v>75.12</v>
      </c>
      <c r="G21" t="n">
        <v>85124.41</v>
      </c>
      <c r="H21" t="n">
        <v>110202.95</v>
      </c>
      <c r="I21" t="n">
        <v>77142.07000000001</v>
      </c>
      <c r="J21" t="inlineStr">
        <is>
          <t>EXECUTED</t>
        </is>
      </c>
      <c r="K21" t="n">
        <v>0.8</v>
      </c>
      <c r="L21" t="n">
        <v>-9.19</v>
      </c>
      <c r="M21">
        <f>HYPERLINK("../../data/JAN13_DYNAMIC/JAN07/OTM/NIFTY2611326100PE_strategy.html", "View")</f>
        <v/>
      </c>
      <c r="N21" t="inlineStr"/>
      <c r="O21" t="inlineStr">
        <is>
          <t>BEARISH</t>
        </is>
      </c>
      <c r="P21" t="inlineStr">
        <is>
          <t>INCLUDED (HYBRID_NEUTRAL_ZONE)</t>
        </is>
      </c>
      <c r="Q21" t="n">
        <v>-8</v>
      </c>
      <c r="R21" t="inlineStr">
        <is>
          <t>Fixed Stop Loss</t>
        </is>
      </c>
      <c r="S21" t="n">
        <v>0.4174</v>
      </c>
      <c r="T21" t="inlineStr"/>
      <c r="U21" t="inlineStr">
        <is>
          <t>2026-01-07</t>
        </is>
      </c>
      <c r="V21" t="inlineStr">
        <is>
          <t>Below S1</t>
        </is>
      </c>
      <c r="W21" t="n">
        <v>26096.14</v>
      </c>
      <c r="X21" t="n">
        <v>26260.18</v>
      </c>
      <c r="Y21" t="n">
        <v>26110.98</v>
      </c>
      <c r="Z21" t="n">
        <v>26341.67</v>
      </c>
      <c r="AA21" t="n">
        <v>26043.27</v>
      </c>
      <c r="AB21" t="n">
        <v>26409.38</v>
      </c>
      <c r="AC21" t="n">
        <v>25961.78</v>
      </c>
      <c r="AD21" t="inlineStr"/>
    </row>
    <row r="22">
      <c r="A22">
        <f>HYPERLINK("../../data/JAN13_DYNAMIC/JAN07/OTM/NIFTY2611326100CE_strategy.csv", "NIFTY2611326100CE")</f>
        <v/>
      </c>
      <c r="B22" t="inlineStr">
        <is>
          <t>CE</t>
        </is>
      </c>
      <c r="C22" t="inlineStr">
        <is>
          <t>14:39:01</t>
        </is>
      </c>
      <c r="D22" t="inlineStr">
        <is>
          <t>14:56:00</t>
        </is>
      </c>
      <c r="E22" t="n">
        <v>113</v>
      </c>
      <c r="F22" t="n">
        <v>121.05</v>
      </c>
      <c r="G22" t="n">
        <v>91185.25999999999</v>
      </c>
      <c r="H22" t="n">
        <v>110202.95</v>
      </c>
      <c r="I22" t="n">
        <v>77142.07000000001</v>
      </c>
      <c r="J22" t="inlineStr">
        <is>
          <t>EXECUTED</t>
        </is>
      </c>
      <c r="K22" t="n">
        <v>10.8</v>
      </c>
      <c r="L22" t="n">
        <v>-6.06</v>
      </c>
      <c r="M22">
        <f>HYPERLINK("../../data/JAN13_DYNAMIC/JAN07/OTM/NIFTY2611326100CE_strategy.html", "View")</f>
        <v/>
      </c>
      <c r="N22" t="inlineStr"/>
      <c r="O22" t="inlineStr">
        <is>
          <t>BULLISH</t>
        </is>
      </c>
      <c r="P22" t="inlineStr">
        <is>
          <t>INCLUDED (HYBRID_NEUTRAL_ZONE)</t>
        </is>
      </c>
      <c r="Q22" t="n">
        <v>7.12</v>
      </c>
      <c r="R22" t="inlineStr">
        <is>
          <t>Dynamic Trailing MA (Fast/Slow MA)</t>
        </is>
      </c>
      <c r="S22" t="n">
        <v>0.6328</v>
      </c>
      <c r="T22" t="n">
        <v>0.663</v>
      </c>
      <c r="U22" t="inlineStr">
        <is>
          <t>2026-01-07</t>
        </is>
      </c>
      <c r="V22" t="inlineStr">
        <is>
          <t>Below S1</t>
        </is>
      </c>
      <c r="W22" t="n">
        <v>26097.16</v>
      </c>
      <c r="X22" t="n">
        <v>26260.18</v>
      </c>
      <c r="Y22" t="n">
        <v>26110.98</v>
      </c>
      <c r="Z22" t="n">
        <v>26341.67</v>
      </c>
      <c r="AA22" t="n">
        <v>26043.27</v>
      </c>
      <c r="AB22" t="n">
        <v>26409.38</v>
      </c>
      <c r="AC22" t="n">
        <v>25961.78</v>
      </c>
      <c r="AD22" t="inlineStr"/>
    </row>
    <row r="23">
      <c r="A23">
        <f>HYPERLINK("../../data/JAN13_DYNAMIC/JAN07/OTM/NIFTY2611326100PE_strategy.csv", "NIFTY2611326100PE")</f>
        <v/>
      </c>
      <c r="B23" t="inlineStr">
        <is>
          <t>PE</t>
        </is>
      </c>
      <c r="C23" t="inlineStr">
        <is>
          <t>14:16:01</t>
        </is>
      </c>
      <c r="D23" t="inlineStr">
        <is>
          <t>14:43:00</t>
        </is>
      </c>
      <c r="E23" t="n">
        <v>80.40000000000001</v>
      </c>
      <c r="F23" t="n">
        <v>75.52</v>
      </c>
      <c r="G23" t="n">
        <v>92526.53</v>
      </c>
      <c r="H23" t="n">
        <v>110202.95</v>
      </c>
      <c r="I23" t="n">
        <v>77142.07000000001</v>
      </c>
      <c r="J23" t="inlineStr">
        <is>
          <t>EXECUTED</t>
        </is>
      </c>
      <c r="K23" t="n">
        <v>6.97</v>
      </c>
      <c r="L23" t="n">
        <v>-5.47</v>
      </c>
      <c r="M23">
        <f>HYPERLINK("../../data/JAN13_DYNAMIC/JAN07/OTM/NIFTY2611326100PE_strategy.html", "View")</f>
        <v/>
      </c>
      <c r="N23" t="inlineStr"/>
      <c r="O23" t="inlineStr">
        <is>
          <t>BULLISH</t>
        </is>
      </c>
      <c r="P23" t="inlineStr">
        <is>
          <t>INCLUDED (HYBRID_NEUTRAL_ZONE)</t>
        </is>
      </c>
      <c r="Q23" t="n">
        <v>-6.07</v>
      </c>
      <c r="R23" t="inlineStr">
        <is>
          <t>SuperTrend Stop Loss Exit</t>
        </is>
      </c>
      <c r="S23" t="n">
        <v>0.3712</v>
      </c>
      <c r="T23" t="inlineStr"/>
      <c r="U23" t="inlineStr">
        <is>
          <t>2026-01-07</t>
        </is>
      </c>
      <c r="V23" t="inlineStr">
        <is>
          <t>Below S1</t>
        </is>
      </c>
      <c r="W23" t="n">
        <v>26096.35</v>
      </c>
      <c r="X23" t="n">
        <v>26260.18</v>
      </c>
      <c r="Y23" t="n">
        <v>26110.98</v>
      </c>
      <c r="Z23" t="n">
        <v>26341.67</v>
      </c>
      <c r="AA23" t="n">
        <v>26043.27</v>
      </c>
      <c r="AB23" t="n">
        <v>26409.38</v>
      </c>
      <c r="AC23" t="n">
        <v>25961.78</v>
      </c>
      <c r="AD23" t="inlineStr"/>
    </row>
    <row r="24">
      <c r="A24">
        <f>HYPERLINK("../../data/JAN13_DYNAMIC/JAN07/OTM/NIFTY2611326050PE_strategy.csv", "NIFTY2611326050PE")</f>
        <v/>
      </c>
      <c r="B24" t="inlineStr">
        <is>
          <t>PE</t>
        </is>
      </c>
      <c r="C24" t="inlineStr">
        <is>
          <t>14:02:01</t>
        </is>
      </c>
      <c r="D24" t="inlineStr">
        <is>
          <t>14:04:00</t>
        </is>
      </c>
      <c r="E24" t="n">
        <v>65.05</v>
      </c>
      <c r="F24" t="n">
        <v>59.85</v>
      </c>
      <c r="G24" t="n">
        <v>98505.83</v>
      </c>
      <c r="H24" t="n">
        <v>110202.95</v>
      </c>
      <c r="I24" t="n">
        <v>77142.07000000001</v>
      </c>
      <c r="J24" t="inlineStr">
        <is>
          <t>EXECUTED</t>
        </is>
      </c>
      <c r="K24" t="n">
        <v>0</v>
      </c>
      <c r="L24" t="n">
        <v>-6.53</v>
      </c>
      <c r="M24">
        <f>HYPERLINK("../../data/JAN13_DYNAMIC/JAN07/OTM/NIFTY2611326050PE_strategy.html", "View")</f>
        <v/>
      </c>
      <c r="N24" t="inlineStr"/>
      <c r="O24" t="inlineStr">
        <is>
          <t>NEUTRAL</t>
        </is>
      </c>
      <c r="P24" t="inlineStr">
        <is>
          <t>INCLUDED</t>
        </is>
      </c>
      <c r="Q24" t="n">
        <v>-7.99</v>
      </c>
      <c r="R24" t="inlineStr">
        <is>
          <t>Fixed Stop Loss</t>
        </is>
      </c>
      <c r="S24" t="n">
        <v>0.5396</v>
      </c>
      <c r="T24" t="inlineStr"/>
      <c r="U24" t="inlineStr">
        <is>
          <t>2026-01-07</t>
        </is>
      </c>
      <c r="V24" t="inlineStr">
        <is>
          <t>Below S1</t>
        </is>
      </c>
      <c r="W24" t="n">
        <v>26088.03</v>
      </c>
      <c r="X24" t="n">
        <v>26260.18</v>
      </c>
      <c r="Y24" t="n">
        <v>26110.98</v>
      </c>
      <c r="Z24" t="n">
        <v>26341.67</v>
      </c>
      <c r="AA24" t="n">
        <v>26043.27</v>
      </c>
      <c r="AB24" t="n">
        <v>26409.38</v>
      </c>
      <c r="AC24" t="n">
        <v>25961.78</v>
      </c>
      <c r="AD24" t="inlineStr"/>
    </row>
    <row r="25">
      <c r="A25">
        <f>HYPERLINK("../../data/JAN13_DYNAMIC/JAN07/OTM/NIFTY2611326100PE_strategy.csv", "NIFTY2611326100PE")</f>
        <v/>
      </c>
      <c r="B25" t="inlineStr">
        <is>
          <t>PE</t>
        </is>
      </c>
      <c r="C25" t="inlineStr">
        <is>
          <t>13:15:01</t>
        </is>
      </c>
      <c r="D25" t="inlineStr">
        <is>
          <t>13:44:00</t>
        </is>
      </c>
      <c r="E25" t="n">
        <v>81.15000000000001</v>
      </c>
      <c r="F25" t="n">
        <v>90.09999999999999</v>
      </c>
      <c r="G25" t="n">
        <v>107059.92</v>
      </c>
      <c r="H25" t="n">
        <v>110202.95</v>
      </c>
      <c r="I25" t="n">
        <v>77142.07000000001</v>
      </c>
      <c r="J25" t="inlineStr">
        <is>
          <t>EXECUTED</t>
        </is>
      </c>
      <c r="K25" t="n">
        <v>14.11</v>
      </c>
      <c r="L25" t="n">
        <v>-8.630000000000001</v>
      </c>
      <c r="M25">
        <f>HYPERLINK("../../data/JAN13_DYNAMIC/JAN07/OTM/NIFTY2611326100PE_strategy.html", "View")</f>
        <v/>
      </c>
      <c r="N25" t="inlineStr"/>
      <c r="O25" t="inlineStr">
        <is>
          <t>BEARISH</t>
        </is>
      </c>
      <c r="P25" t="inlineStr">
        <is>
          <t>INCLUDED (HYBRID_NEUTRAL_ZONE)</t>
        </is>
      </c>
      <c r="Q25" t="n">
        <v>11.03</v>
      </c>
      <c r="R25" t="inlineStr">
        <is>
          <t>Dynamic Trailing MA (Fast/Slow MA)</t>
        </is>
      </c>
      <c r="S25" t="n">
        <v>0.6453</v>
      </c>
      <c r="T25" t="n">
        <v>0.837</v>
      </c>
      <c r="U25" t="inlineStr">
        <is>
          <t>2026-01-07</t>
        </is>
      </c>
      <c r="V25" t="inlineStr">
        <is>
          <t>Below S1</t>
        </is>
      </c>
      <c r="W25" t="n">
        <v>26100.38</v>
      </c>
      <c r="X25" t="n">
        <v>26260.18</v>
      </c>
      <c r="Y25" t="n">
        <v>26110.98</v>
      </c>
      <c r="Z25" t="n">
        <v>26341.67</v>
      </c>
      <c r="AA25" t="n">
        <v>26043.27</v>
      </c>
      <c r="AB25" t="n">
        <v>26409.38</v>
      </c>
      <c r="AC25" t="n">
        <v>25961.78</v>
      </c>
      <c r="AD25" t="inlineStr"/>
    </row>
    <row r="26">
      <c r="A26">
        <f>HYPERLINK("../../data/JAN13_DYNAMIC/JAN07/OTM/NIFTY2611326100CE_strategy.csv", "NIFTY2611326100CE")</f>
        <v/>
      </c>
      <c r="B26" t="inlineStr">
        <is>
          <t>CE</t>
        </is>
      </c>
      <c r="C26" t="inlineStr">
        <is>
          <t>12:58:01</t>
        </is>
      </c>
      <c r="D26" t="inlineStr">
        <is>
          <t>13:21:00</t>
        </is>
      </c>
      <c r="E26" t="n">
        <v>115.2</v>
      </c>
      <c r="F26" t="n">
        <v>116.45</v>
      </c>
      <c r="G26" t="n">
        <v>96424.32000000001</v>
      </c>
      <c r="H26" t="n">
        <v>110202.95</v>
      </c>
      <c r="I26" t="n">
        <v>77142.07000000001</v>
      </c>
      <c r="J26" t="inlineStr">
        <is>
          <t>EXECUTED</t>
        </is>
      </c>
      <c r="K26" t="n">
        <v>9.07</v>
      </c>
      <c r="L26" t="n">
        <v>-4.3</v>
      </c>
      <c r="M26">
        <f>HYPERLINK("../../data/JAN13_DYNAMIC/JAN07/OTM/NIFTY2611326100CE_strategy.html", "View")</f>
        <v/>
      </c>
      <c r="N26" t="inlineStr"/>
      <c r="O26" t="inlineStr">
        <is>
          <t>BULLISH</t>
        </is>
      </c>
      <c r="P26" t="inlineStr">
        <is>
          <t>INCLUDED (HYBRID_NEUTRAL_ZONE)</t>
        </is>
      </c>
      <c r="Q26" t="n">
        <v>1.09</v>
      </c>
      <c r="R26" t="inlineStr">
        <is>
          <t>Dynamic Trailing MA (Fast/Slow MA)</t>
        </is>
      </c>
      <c r="S26" t="n">
        <v>0.6495</v>
      </c>
      <c r="T26" t="n">
        <v>0.7483</v>
      </c>
      <c r="U26" t="inlineStr">
        <is>
          <t>2026-01-07</t>
        </is>
      </c>
      <c r="V26" t="inlineStr">
        <is>
          <t>Below S1</t>
        </is>
      </c>
      <c r="W26" t="n">
        <v>26095.61</v>
      </c>
      <c r="X26" t="n">
        <v>26260.18</v>
      </c>
      <c r="Y26" t="n">
        <v>26110.98</v>
      </c>
      <c r="Z26" t="n">
        <v>26341.67</v>
      </c>
      <c r="AA26" t="n">
        <v>26043.27</v>
      </c>
      <c r="AB26" t="n">
        <v>26409.38</v>
      </c>
      <c r="AC26" t="n">
        <v>25961.78</v>
      </c>
      <c r="AD26" t="inlineStr"/>
    </row>
    <row r="27">
      <c r="A27">
        <f>HYPERLINK("../../data/JAN13_DYNAMIC/JAN07/OTM/NIFTY2611326150CE_strategy.csv", "NIFTY2611326150CE")</f>
        <v/>
      </c>
      <c r="B27" t="inlineStr">
        <is>
          <t>CE</t>
        </is>
      </c>
      <c r="C27" t="inlineStr">
        <is>
          <t>12:39:01</t>
        </is>
      </c>
      <c r="D27" t="inlineStr">
        <is>
          <t>12:42:00</t>
        </is>
      </c>
      <c r="E27" t="n">
        <v>97.25</v>
      </c>
      <c r="F27" t="n">
        <v>91.48999999999999</v>
      </c>
      <c r="G27" t="n">
        <v>95384.62</v>
      </c>
      <c r="H27" t="n">
        <v>110202.95</v>
      </c>
      <c r="I27" t="n">
        <v>77142.07000000001</v>
      </c>
      <c r="J27" t="inlineStr">
        <is>
          <t>EXECUTED</t>
        </is>
      </c>
      <c r="K27" t="n">
        <v>2.01</v>
      </c>
      <c r="L27" t="n">
        <v>-4.22</v>
      </c>
      <c r="M27">
        <f>HYPERLINK("../../data/JAN13_DYNAMIC/JAN07/OTM/NIFTY2611326150CE_strategy.html", "View")</f>
        <v/>
      </c>
      <c r="N27" t="inlineStr"/>
      <c r="O27" t="inlineStr">
        <is>
          <t>BEARISH</t>
        </is>
      </c>
      <c r="P27" t="inlineStr">
        <is>
          <t>INCLUDED (HYBRID_NEUTRAL_ZONE)</t>
        </is>
      </c>
      <c r="Q27" t="n">
        <v>-5.92</v>
      </c>
      <c r="R27" t="inlineStr">
        <is>
          <t>Fixed Stop Loss</t>
        </is>
      </c>
      <c r="S27" t="n">
        <v>0.3911</v>
      </c>
      <c r="T27" t="inlineStr"/>
      <c r="U27" t="inlineStr">
        <is>
          <t>2026-01-07</t>
        </is>
      </c>
      <c r="V27" t="inlineStr">
        <is>
          <t>Below S1</t>
        </is>
      </c>
      <c r="W27" t="n">
        <v>26104.39</v>
      </c>
      <c r="X27" t="n">
        <v>26260.18</v>
      </c>
      <c r="Y27" t="n">
        <v>26110.98</v>
      </c>
      <c r="Z27" t="n">
        <v>26341.67</v>
      </c>
      <c r="AA27" t="n">
        <v>26043.27</v>
      </c>
      <c r="AB27" t="n">
        <v>26409.38</v>
      </c>
      <c r="AC27" t="n">
        <v>25961.78</v>
      </c>
      <c r="AD27" t="inlineStr"/>
    </row>
    <row r="28">
      <c r="A28">
        <f>HYPERLINK("../../data/JAN13_DYNAMIC/JAN07/OTM/NIFTY2611326150CE_strategy.csv", "NIFTY2611326150CE")</f>
        <v/>
      </c>
      <c r="B28" t="inlineStr">
        <is>
          <t>CE</t>
        </is>
      </c>
      <c r="C28" t="inlineStr">
        <is>
          <t>12:24:01</t>
        </is>
      </c>
      <c r="D28" t="inlineStr">
        <is>
          <t>12:38:00</t>
        </is>
      </c>
      <c r="E28" t="n">
        <v>102.2</v>
      </c>
      <c r="F28" t="n">
        <v>94.02</v>
      </c>
      <c r="G28" t="n">
        <v>101386.72</v>
      </c>
      <c r="H28" t="n">
        <v>110202.95</v>
      </c>
      <c r="I28" t="n">
        <v>77142.07000000001</v>
      </c>
      <c r="J28" t="inlineStr">
        <is>
          <t>EXECUTED</t>
        </is>
      </c>
      <c r="K28" t="n">
        <v>1.13</v>
      </c>
      <c r="L28" t="n">
        <v>-8.66</v>
      </c>
      <c r="M28">
        <f>HYPERLINK("../../data/JAN13_DYNAMIC/JAN07/OTM/NIFTY2611326150CE_strategy.html", "View")</f>
        <v/>
      </c>
      <c r="N28" t="inlineStr"/>
      <c r="O28" t="inlineStr">
        <is>
          <t>NEUTRAL</t>
        </is>
      </c>
      <c r="P28" t="inlineStr">
        <is>
          <t>INCLUDED</t>
        </is>
      </c>
      <c r="Q28" t="n">
        <v>-8</v>
      </c>
      <c r="R28" t="inlineStr">
        <is>
          <t>Fixed Stop Loss</t>
        </is>
      </c>
      <c r="S28" t="n">
        <v>0.3693</v>
      </c>
      <c r="T28" t="inlineStr"/>
      <c r="U28" t="inlineStr">
        <is>
          <t>2026-01-07</t>
        </is>
      </c>
      <c r="V28" t="inlineStr">
        <is>
          <t>Below S1</t>
        </is>
      </c>
      <c r="W28" t="n">
        <v>26106.79</v>
      </c>
      <c r="X28" t="n">
        <v>26260.18</v>
      </c>
      <c r="Y28" t="n">
        <v>26110.98</v>
      </c>
      <c r="Z28" t="n">
        <v>26341.67</v>
      </c>
      <c r="AA28" t="n">
        <v>26043.27</v>
      </c>
      <c r="AB28" t="n">
        <v>26409.38</v>
      </c>
      <c r="AC28" t="n">
        <v>25961.78</v>
      </c>
      <c r="AD28" t="inlineStr"/>
    </row>
    <row r="29">
      <c r="A29">
        <f>HYPERLINK("../../data/JAN13_DYNAMIC/JAN08/OTM/NIFTY2611326050CE_strategy.csv", "NIFTY2611326050CE")</f>
        <v/>
      </c>
      <c r="B29" t="inlineStr">
        <is>
          <t>CE</t>
        </is>
      </c>
      <c r="C29" t="inlineStr">
        <is>
          <t>10:55:01</t>
        </is>
      </c>
      <c r="D29" t="inlineStr">
        <is>
          <t>11:02:00</t>
        </is>
      </c>
      <c r="E29" t="n">
        <v>94.09999999999999</v>
      </c>
      <c r="F29" t="n">
        <v>88.27</v>
      </c>
      <c r="G29" t="n">
        <v>76915.62</v>
      </c>
      <c r="H29" t="n">
        <v>100000</v>
      </c>
      <c r="I29" t="n">
        <v>70000</v>
      </c>
      <c r="J29" t="inlineStr">
        <is>
          <t>EXECUTED</t>
        </is>
      </c>
      <c r="K29" t="n">
        <v>0.96</v>
      </c>
      <c r="L29" t="n">
        <v>-5.95</v>
      </c>
      <c r="M29">
        <f>HYPERLINK("../../data/JAN13_DYNAMIC/JAN08/OTM/NIFTY2611326050CE_strategy.html", "View")</f>
        <v/>
      </c>
      <c r="N29" t="inlineStr"/>
      <c r="O29" t="inlineStr">
        <is>
          <t>BULLISH</t>
        </is>
      </c>
      <c r="P29" t="inlineStr">
        <is>
          <t>INCLUDED (HYBRID_NEUTRAL_ZONE)</t>
        </is>
      </c>
      <c r="Q29" t="n">
        <v>-6.2</v>
      </c>
      <c r="R29" t="inlineStr">
        <is>
          <t>Fixed Stop Loss</t>
        </is>
      </c>
      <c r="S29" t="n">
        <v>0.3424</v>
      </c>
      <c r="T29" t="inlineStr"/>
      <c r="U29" t="inlineStr">
        <is>
          <t>2026-01-08</t>
        </is>
      </c>
      <c r="V29" t="inlineStr">
        <is>
          <t>Below S1</t>
        </is>
      </c>
      <c r="W29" t="n">
        <v>26020.94</v>
      </c>
      <c r="X29" t="n">
        <v>26195.97</v>
      </c>
      <c r="Y29" t="n">
        <v>26076.72</v>
      </c>
      <c r="Z29" t="n">
        <v>26251.18</v>
      </c>
      <c r="AA29" t="n">
        <v>26012.68</v>
      </c>
      <c r="AB29" t="n">
        <v>26315.22</v>
      </c>
      <c r="AC29" t="n">
        <v>25957.47</v>
      </c>
      <c r="AD29" t="inlineStr"/>
    </row>
    <row r="30">
      <c r="A30">
        <f>HYPERLINK("../../data/JAN13_DYNAMIC/JAN08/OTM/NIFTY2611326050CE_strategy.csv", "NIFTY2611326050CE")</f>
        <v/>
      </c>
      <c r="B30" t="inlineStr">
        <is>
          <t>CE</t>
        </is>
      </c>
      <c r="C30" t="inlineStr">
        <is>
          <t>10:36:01</t>
        </is>
      </c>
      <c r="D30" t="inlineStr">
        <is>
          <t>10:41:00</t>
        </is>
      </c>
      <c r="E30" t="n">
        <v>100.8</v>
      </c>
      <c r="F30" t="n">
        <v>92.73999999999999</v>
      </c>
      <c r="G30" t="n">
        <v>81999.60000000001</v>
      </c>
      <c r="H30" t="n">
        <v>100000</v>
      </c>
      <c r="I30" t="n">
        <v>70000</v>
      </c>
      <c r="J30" t="inlineStr">
        <is>
          <t>EXECUTED</t>
        </is>
      </c>
      <c r="K30" t="n">
        <v>0</v>
      </c>
      <c r="L30" t="n">
        <v>-6.89</v>
      </c>
      <c r="M30">
        <f>HYPERLINK("../../data/JAN13_DYNAMIC/JAN08/OTM/NIFTY2611326050CE_strategy.html", "View")</f>
        <v/>
      </c>
      <c r="N30" t="inlineStr"/>
      <c r="O30" t="inlineStr">
        <is>
          <t>NEUTRAL</t>
        </is>
      </c>
      <c r="P30" t="inlineStr">
        <is>
          <t>INCLUDED</t>
        </is>
      </c>
      <c r="Q30" t="n">
        <v>-8</v>
      </c>
      <c r="R30" t="inlineStr">
        <is>
          <t>Fixed Stop Loss</t>
        </is>
      </c>
      <c r="S30" t="n">
        <v>0.746</v>
      </c>
      <c r="T30" t="inlineStr"/>
      <c r="U30" t="inlineStr">
        <is>
          <t>2026-01-08</t>
        </is>
      </c>
      <c r="V30" t="inlineStr">
        <is>
          <t>Below S1</t>
        </is>
      </c>
      <c r="W30" t="n">
        <v>26038.67</v>
      </c>
      <c r="X30" t="n">
        <v>26195.97</v>
      </c>
      <c r="Y30" t="n">
        <v>26076.72</v>
      </c>
      <c r="Z30" t="n">
        <v>26251.18</v>
      </c>
      <c r="AA30" t="n">
        <v>26012.68</v>
      </c>
      <c r="AB30" t="n">
        <v>26315.22</v>
      </c>
      <c r="AC30" t="n">
        <v>25957.47</v>
      </c>
      <c r="AD30" t="inlineStr"/>
    </row>
    <row r="31">
      <c r="A31">
        <f>HYPERLINK("../../data/JAN13_DYNAMIC/JAN08/OTM/NIFTY2611326050PE_strategy.csv", "NIFTY2611326050PE")</f>
        <v/>
      </c>
      <c r="B31" t="inlineStr">
        <is>
          <t>PE</t>
        </is>
      </c>
      <c r="C31" t="inlineStr">
        <is>
          <t>10:01:01</t>
        </is>
      </c>
      <c r="D31" t="inlineStr">
        <is>
          <t>11:39:00</t>
        </is>
      </c>
      <c r="E31" t="n">
        <v>68.95</v>
      </c>
      <c r="F31" t="n">
        <v>115.06</v>
      </c>
      <c r="G31" t="n">
        <v>128349.1</v>
      </c>
      <c r="H31" t="n">
        <v>128349.1</v>
      </c>
      <c r="I31" t="n">
        <v>89844.37</v>
      </c>
      <c r="J31" t="inlineStr">
        <is>
          <t>EXECUTED</t>
        </is>
      </c>
      <c r="K31" t="n">
        <v>95.5</v>
      </c>
      <c r="L31" t="n">
        <v>-9.640000000000001</v>
      </c>
      <c r="M31">
        <f>HYPERLINK("../../data/JAN13_DYNAMIC/JAN08/OTM/NIFTY2611326050PE_strategy.html", "View")</f>
        <v/>
      </c>
      <c r="N31" t="inlineStr"/>
      <c r="O31" t="inlineStr">
        <is>
          <t>NEUTRAL</t>
        </is>
      </c>
      <c r="P31" t="inlineStr">
        <is>
          <t>INCLUDED</t>
        </is>
      </c>
      <c r="Q31" t="n">
        <v>66.87</v>
      </c>
      <c r="R31" t="inlineStr">
        <is>
          <t>SuperTrend Stop Loss Exit</t>
        </is>
      </c>
      <c r="S31" t="n">
        <v>0.439</v>
      </c>
      <c r="T31" t="n">
        <v>0.5658</v>
      </c>
      <c r="U31" t="inlineStr">
        <is>
          <t>2026-01-08</t>
        </is>
      </c>
      <c r="V31" t="inlineStr">
        <is>
          <t>Below S1</t>
        </is>
      </c>
      <c r="W31" t="n">
        <v>26074.28</v>
      </c>
      <c r="X31" t="n">
        <v>26195.97</v>
      </c>
      <c r="Y31" t="n">
        <v>26076.72</v>
      </c>
      <c r="Z31" t="n">
        <v>26251.18</v>
      </c>
      <c r="AA31" t="n">
        <v>26012.68</v>
      </c>
      <c r="AB31" t="n">
        <v>26315.22</v>
      </c>
      <c r="AC31" t="n">
        <v>25957.47</v>
      </c>
      <c r="AD31" t="inlineStr"/>
    </row>
    <row r="32">
      <c r="A32">
        <f>HYPERLINK("../../data/JAN13_DYNAMIC/JAN09/OTM/NIFTY2611325650PE_strategy.csv", "NIFTY2611325650PE")</f>
        <v/>
      </c>
      <c r="B32" t="inlineStr">
        <is>
          <t>PE</t>
        </is>
      </c>
      <c r="C32" t="inlineStr">
        <is>
          <t>15:17:01</t>
        </is>
      </c>
      <c r="D32" t="inlineStr">
        <is>
          <t>15:18:00</t>
        </is>
      </c>
      <c r="E32" t="n">
        <v>64.5</v>
      </c>
      <c r="F32" t="n">
        <v>64.8</v>
      </c>
      <c r="G32" t="n">
        <v>97830.09</v>
      </c>
      <c r="H32" t="n">
        <v>105470</v>
      </c>
      <c r="I32" t="n">
        <v>73829</v>
      </c>
      <c r="J32" t="inlineStr">
        <is>
          <t>EXECUTED</t>
        </is>
      </c>
      <c r="K32" t="n">
        <v>2.09</v>
      </c>
      <c r="L32" t="n">
        <v>-10.16</v>
      </c>
      <c r="M32">
        <f>HYPERLINK("../../data/JAN13_DYNAMIC/JAN09/OTM/NIFTY2611325650PE_strategy.html", "View")</f>
        <v/>
      </c>
      <c r="N32" t="inlineStr"/>
      <c r="O32" t="inlineStr">
        <is>
          <t>BULLISH</t>
        </is>
      </c>
      <c r="P32" t="inlineStr">
        <is>
          <t>INCLUDED (HYBRID_NEUTRAL_ZONE)</t>
        </is>
      </c>
      <c r="Q32" t="n">
        <v>0.47</v>
      </c>
      <c r="R32" t="inlineStr">
        <is>
          <t>EOD Exit</t>
        </is>
      </c>
      <c r="S32" t="n">
        <v>0.3534</v>
      </c>
      <c r="T32" t="inlineStr"/>
      <c r="U32" t="inlineStr">
        <is>
          <t>2026-01-09</t>
        </is>
      </c>
      <c r="V32" t="inlineStr">
        <is>
          <t>Below S1</t>
        </is>
      </c>
      <c r="W32" t="n">
        <v>25682.49</v>
      </c>
      <c r="X32" t="n">
        <v>26053.88</v>
      </c>
      <c r="Y32" t="n">
        <v>25779.13</v>
      </c>
      <c r="Z32" t="n">
        <v>26230.92</v>
      </c>
      <c r="AA32" t="n">
        <v>25681.42</v>
      </c>
      <c r="AB32" t="n">
        <v>26328.63</v>
      </c>
      <c r="AC32" t="n">
        <v>25504.38</v>
      </c>
      <c r="AD32" t="inlineStr"/>
    </row>
    <row r="33">
      <c r="A33">
        <f>HYPERLINK("../../data/JAN13_DYNAMIC/JAN09/OTM/NIFTY2611325700PE_strategy.csv", "NIFTY2611325700PE")</f>
        <v/>
      </c>
      <c r="B33" t="inlineStr">
        <is>
          <t>PE</t>
        </is>
      </c>
      <c r="C33" t="inlineStr">
        <is>
          <t>13:43:01</t>
        </is>
      </c>
      <c r="D33" t="inlineStr">
        <is>
          <t>14:05:00</t>
        </is>
      </c>
      <c r="E33" t="n">
        <v>78.59999999999999</v>
      </c>
      <c r="F33" t="n">
        <v>84.84999999999999</v>
      </c>
      <c r="G33" t="n">
        <v>97372.44</v>
      </c>
      <c r="H33" t="n">
        <v>105470</v>
      </c>
      <c r="I33" t="n">
        <v>73829</v>
      </c>
      <c r="J33" t="inlineStr">
        <is>
          <t>EXECUTED</t>
        </is>
      </c>
      <c r="K33" t="n">
        <v>18.32</v>
      </c>
      <c r="L33" t="n">
        <v>-19.27</v>
      </c>
      <c r="M33">
        <f>HYPERLINK("../../data/JAN13_DYNAMIC/JAN09/OTM/NIFTY2611325700PE_strategy.html", "View")</f>
        <v/>
      </c>
      <c r="N33" t="inlineStr"/>
      <c r="O33" t="inlineStr">
        <is>
          <t>BEARISH</t>
        </is>
      </c>
      <c r="P33" t="inlineStr">
        <is>
          <t>INCLUDED (HYBRID_NEUTRAL_ZONE)</t>
        </is>
      </c>
      <c r="Q33" t="n">
        <v>7.95</v>
      </c>
      <c r="R33" t="inlineStr">
        <is>
          <t>Dynamic Trailing MA (Fast/Slow MA)</t>
        </is>
      </c>
      <c r="S33" t="n">
        <v>0.5385</v>
      </c>
      <c r="T33" t="n">
        <v>0.5815</v>
      </c>
      <c r="U33" t="inlineStr">
        <is>
          <t>2026-01-09</t>
        </is>
      </c>
      <c r="V33" t="inlineStr">
        <is>
          <t>Below S1</t>
        </is>
      </c>
      <c r="W33" t="n">
        <v>25692.96</v>
      </c>
      <c r="X33" t="n">
        <v>26053.88</v>
      </c>
      <c r="Y33" t="n">
        <v>25779.13</v>
      </c>
      <c r="Z33" t="n">
        <v>26230.92</v>
      </c>
      <c r="AA33" t="n">
        <v>25681.42</v>
      </c>
      <c r="AB33" t="n">
        <v>26328.63</v>
      </c>
      <c r="AC33" t="n">
        <v>25504.38</v>
      </c>
      <c r="AD33" t="inlineStr"/>
    </row>
    <row r="34">
      <c r="A34">
        <f>HYPERLINK("../../data/JAN13_DYNAMIC/JAN09/OTM/NIFTY2611325700PE_strategy.csv", "NIFTY2611325700PE")</f>
        <v/>
      </c>
      <c r="B34" t="inlineStr">
        <is>
          <t>PE</t>
        </is>
      </c>
      <c r="C34" t="inlineStr">
        <is>
          <t>13:26:01</t>
        </is>
      </c>
      <c r="D34" t="inlineStr">
        <is>
          <t>13:36:00</t>
        </is>
      </c>
      <c r="E34" t="n">
        <v>78.65000000000001</v>
      </c>
      <c r="F34" t="n">
        <v>72.36</v>
      </c>
      <c r="G34" t="n">
        <v>82128.22</v>
      </c>
      <c r="H34" t="n">
        <v>105470</v>
      </c>
      <c r="I34" t="n">
        <v>73829</v>
      </c>
      <c r="J34" t="inlineStr">
        <is>
          <t>EXECUTED</t>
        </is>
      </c>
      <c r="K34" t="n">
        <v>8.140000000000001</v>
      </c>
      <c r="L34" t="n">
        <v>-11.44</v>
      </c>
      <c r="M34">
        <f>HYPERLINK("../../data/JAN13_DYNAMIC/JAN09/OTM/NIFTY2611325700PE_strategy.html", "View")</f>
        <v/>
      </c>
      <c r="N34" t="inlineStr"/>
      <c r="O34" t="inlineStr">
        <is>
          <t>BULLISH</t>
        </is>
      </c>
      <c r="P34" t="inlineStr">
        <is>
          <t>INCLUDED (HYBRID_NEUTRAL_ZONE)</t>
        </is>
      </c>
      <c r="Q34" t="n">
        <v>-8</v>
      </c>
      <c r="R34" t="inlineStr">
        <is>
          <t>Fixed Stop Loss</t>
        </is>
      </c>
      <c r="S34" t="n">
        <v>0.4059</v>
      </c>
      <c r="T34" t="n">
        <v>0.5009</v>
      </c>
      <c r="U34" t="inlineStr">
        <is>
          <t>2026-01-09</t>
        </is>
      </c>
      <c r="V34" t="inlineStr">
        <is>
          <t>Below S1</t>
        </is>
      </c>
      <c r="W34" t="n">
        <v>25702.85</v>
      </c>
      <c r="X34" t="n">
        <v>26053.88</v>
      </c>
      <c r="Y34" t="n">
        <v>25779.13</v>
      </c>
      <c r="Z34" t="n">
        <v>26230.92</v>
      </c>
      <c r="AA34" t="n">
        <v>25681.42</v>
      </c>
      <c r="AB34" t="n">
        <v>26328.63</v>
      </c>
      <c r="AC34" t="n">
        <v>25504.38</v>
      </c>
      <c r="AD34" t="inlineStr"/>
    </row>
    <row r="35">
      <c r="A35">
        <f>HYPERLINK("../../data/JAN13_DYNAMIC/JAN09/OTM/NIFTY2611325700CE_strategy.csv", "NIFTY2611325700CE")</f>
        <v/>
      </c>
      <c r="B35" t="inlineStr">
        <is>
          <t>CE</t>
        </is>
      </c>
      <c r="C35" t="inlineStr">
        <is>
          <t>13:01:01</t>
        </is>
      </c>
      <c r="D35" t="inlineStr">
        <is>
          <t>13:37:00</t>
        </is>
      </c>
      <c r="E35" t="n">
        <v>105.85</v>
      </c>
      <c r="F35" t="n">
        <v>116.25</v>
      </c>
      <c r="G35" t="n">
        <v>90201.42999999999</v>
      </c>
      <c r="H35" t="n">
        <v>105470</v>
      </c>
      <c r="I35" t="n">
        <v>73829</v>
      </c>
      <c r="J35" t="inlineStr">
        <is>
          <t>EXECUTED</t>
        </is>
      </c>
      <c r="K35" t="n">
        <v>13.27</v>
      </c>
      <c r="L35" t="n">
        <v>-4.72</v>
      </c>
      <c r="M35">
        <f>HYPERLINK("../../data/JAN13_DYNAMIC/JAN09/OTM/NIFTY2611325700CE_strategy.html", "View")</f>
        <v/>
      </c>
      <c r="N35" t="inlineStr"/>
      <c r="O35" t="inlineStr">
        <is>
          <t>BULLISH</t>
        </is>
      </c>
      <c r="P35" t="inlineStr">
        <is>
          <t>INCLUDED (HYBRID_NEUTRAL_ZONE)</t>
        </is>
      </c>
      <c r="Q35" t="n">
        <v>9.83</v>
      </c>
      <c r="R35" t="inlineStr">
        <is>
          <t>Dynamic Trailing MA (Fast/Slow MA)</t>
        </is>
      </c>
      <c r="S35" t="n">
        <v>0.4741</v>
      </c>
      <c r="T35" t="n">
        <v>0.6062</v>
      </c>
      <c r="U35" t="inlineStr">
        <is>
          <t>2026-01-09</t>
        </is>
      </c>
      <c r="V35" t="inlineStr">
        <is>
          <t>Below S1</t>
        </is>
      </c>
      <c r="W35" t="n">
        <v>25692.19</v>
      </c>
      <c r="X35" t="n">
        <v>26053.88</v>
      </c>
      <c r="Y35" t="n">
        <v>25779.13</v>
      </c>
      <c r="Z35" t="n">
        <v>26230.92</v>
      </c>
      <c r="AA35" t="n">
        <v>25681.42</v>
      </c>
      <c r="AB35" t="n">
        <v>26328.63</v>
      </c>
      <c r="AC35" t="n">
        <v>25504.38</v>
      </c>
      <c r="AD35" t="inlineStr"/>
    </row>
    <row r="36">
      <c r="A36">
        <f>HYPERLINK("../../data/JAN13_DYNAMIC/JAN09/OTM/NIFTY2611325750CE_strategy.csv", "NIFTY2611325750CE")</f>
        <v/>
      </c>
      <c r="B36" t="inlineStr">
        <is>
          <t>CE</t>
        </is>
      </c>
      <c r="C36" t="inlineStr">
        <is>
          <t>12:33:01</t>
        </is>
      </c>
      <c r="D36" t="inlineStr">
        <is>
          <t>12:35:00</t>
        </is>
      </c>
      <c r="E36" t="n">
        <v>94.65000000000001</v>
      </c>
      <c r="F36" t="n">
        <v>87.08</v>
      </c>
      <c r="G36" t="n">
        <v>89269.81</v>
      </c>
      <c r="H36" t="n">
        <v>105470</v>
      </c>
      <c r="I36" t="n">
        <v>73829</v>
      </c>
      <c r="J36" t="inlineStr">
        <is>
          <t>EXECUTED</t>
        </is>
      </c>
      <c r="K36" t="n">
        <v>0</v>
      </c>
      <c r="L36" t="n">
        <v>-6.97</v>
      </c>
      <c r="M36">
        <f>HYPERLINK("../../data/JAN13_DYNAMIC/JAN09/OTM/NIFTY2611325750CE_strategy.html", "View")</f>
        <v/>
      </c>
      <c r="N36" t="inlineStr"/>
      <c r="O36" t="inlineStr">
        <is>
          <t>NEUTRAL</t>
        </is>
      </c>
      <c r="P36" t="inlineStr">
        <is>
          <t>INCLUDED</t>
        </is>
      </c>
      <c r="Q36" t="n">
        <v>-8</v>
      </c>
      <c r="R36" t="inlineStr">
        <is>
          <t>Fixed Stop Loss</t>
        </is>
      </c>
      <c r="S36" t="n">
        <v>0.1119</v>
      </c>
      <c r="T36" t="inlineStr"/>
      <c r="U36" t="inlineStr">
        <is>
          <t>2026-01-09</t>
        </is>
      </c>
      <c r="V36" t="inlineStr">
        <is>
          <t>Below S1</t>
        </is>
      </c>
      <c r="W36" t="n">
        <v>25724.08</v>
      </c>
      <c r="X36" t="n">
        <v>26053.88</v>
      </c>
      <c r="Y36" t="n">
        <v>25779.13</v>
      </c>
      <c r="Z36" t="n">
        <v>26230.92</v>
      </c>
      <c r="AA36" t="n">
        <v>25681.42</v>
      </c>
      <c r="AB36" t="n">
        <v>26328.63</v>
      </c>
      <c r="AC36" t="n">
        <v>25504.38</v>
      </c>
      <c r="AD36" t="inlineStr"/>
    </row>
    <row r="37">
      <c r="A37">
        <f>HYPERLINK("../../data/JAN13_DYNAMIC/JAN12/OTM/NIFTY2611325500CE_strategy.csv", "NIFTY2611325500CE")</f>
        <v/>
      </c>
      <c r="B37" t="inlineStr">
        <is>
          <t>CE</t>
        </is>
      </c>
      <c r="C37" t="inlineStr">
        <is>
          <t>11:48:01</t>
        </is>
      </c>
      <c r="D37" t="inlineStr">
        <is>
          <t>13:02:00</t>
        </is>
      </c>
      <c r="E37" t="n">
        <v>81.34999999999999</v>
      </c>
      <c r="F37" t="n">
        <v>218.8</v>
      </c>
      <c r="G37" t="n">
        <v>192701.99</v>
      </c>
      <c r="H37" t="n">
        <v>192701.99</v>
      </c>
      <c r="I37" t="n">
        <v>134891.4</v>
      </c>
      <c r="J37" t="inlineStr">
        <is>
          <t>EXECUTED</t>
        </is>
      </c>
      <c r="K37" t="n">
        <v>243.58</v>
      </c>
      <c r="L37" t="n">
        <v>-13.15</v>
      </c>
      <c r="M37">
        <f>HYPERLINK("../../data/JAN13_DYNAMIC/JAN12/OTM/NIFTY2611325500CE_strategy.html", "View")</f>
        <v/>
      </c>
      <c r="N37" t="inlineStr"/>
      <c r="O37" t="inlineStr">
        <is>
          <t>NEUTRAL</t>
        </is>
      </c>
      <c r="P37" t="inlineStr">
        <is>
          <t>INCLUDED</t>
        </is>
      </c>
      <c r="Q37" t="n">
        <v>168.96</v>
      </c>
      <c r="R37" t="inlineStr">
        <is>
          <t>SuperTrend Stop Loss Exit</t>
        </is>
      </c>
      <c r="S37" t="n">
        <v>0.5833</v>
      </c>
      <c r="T37" t="n">
        <v>0.866</v>
      </c>
      <c r="U37" t="inlineStr">
        <is>
          <t>2026-01-12</t>
        </is>
      </c>
      <c r="V37" t="inlineStr">
        <is>
          <t>Below S1</t>
        </is>
      </c>
      <c r="W37" t="n">
        <v>25494.88</v>
      </c>
      <c r="X37" t="n">
        <v>25874.93</v>
      </c>
      <c r="Y37" t="n">
        <v>25557.33</v>
      </c>
      <c r="Z37" t="n">
        <v>26066.57</v>
      </c>
      <c r="AA37" t="n">
        <v>25431.37</v>
      </c>
      <c r="AB37" t="n">
        <v>26192.53</v>
      </c>
      <c r="AC37" t="n">
        <v>25239.73</v>
      </c>
      <c r="AD37" t="inlineStr"/>
    </row>
    <row r="38">
      <c r="A38">
        <f>HYPERLINK("../../data/JAN20_DYNAMIC/JAN19/OTM/NIFTY2612025650CE_strategy.csv", "NIFTY2612025650CE")</f>
        <v/>
      </c>
      <c r="B38" t="inlineStr">
        <is>
          <t>CE</t>
        </is>
      </c>
      <c r="C38" t="inlineStr">
        <is>
          <t>14:34:01</t>
        </is>
      </c>
      <c r="D38" t="inlineStr">
        <is>
          <t>14:35:00</t>
        </is>
      </c>
      <c r="E38" t="n">
        <v>50.05</v>
      </c>
      <c r="F38" t="n">
        <v>46.05</v>
      </c>
      <c r="G38" t="n">
        <v>93097.07000000001</v>
      </c>
      <c r="H38" t="n">
        <v>109979.86</v>
      </c>
      <c r="I38" t="n">
        <v>76985.89999999999</v>
      </c>
      <c r="J38" t="inlineStr">
        <is>
          <t>EXECUTED</t>
        </is>
      </c>
      <c r="K38" t="n">
        <v>0</v>
      </c>
      <c r="L38" t="n">
        <v>-13.89</v>
      </c>
      <c r="M38">
        <f>HYPERLINK("../../data/JAN20_DYNAMIC/JAN19/OTM/NIFTY2612025650CE_strategy.html", "View")</f>
        <v/>
      </c>
      <c r="N38" t="inlineStr"/>
      <c r="O38" t="inlineStr">
        <is>
          <t>BEARISH</t>
        </is>
      </c>
      <c r="P38" t="inlineStr">
        <is>
          <t>INCLUDED (HYBRID_NEUTRAL_ZONE)</t>
        </is>
      </c>
      <c r="Q38" t="n">
        <v>-7.99</v>
      </c>
      <c r="R38" t="inlineStr">
        <is>
          <t>Fixed Stop Loss</t>
        </is>
      </c>
      <c r="S38" t="n">
        <v>0.3838</v>
      </c>
      <c r="T38" t="inlineStr"/>
      <c r="U38" t="inlineStr">
        <is>
          <t>2026-01-19</t>
        </is>
      </c>
      <c r="V38" t="inlineStr">
        <is>
          <t>Below S1</t>
        </is>
      </c>
      <c r="W38" t="n">
        <v>25604.71</v>
      </c>
      <c r="X38" t="n">
        <v>25824.43</v>
      </c>
      <c r="Y38" t="n">
        <v>25613.33</v>
      </c>
      <c r="Z38" t="n">
        <v>25954.52</v>
      </c>
      <c r="AA38" t="n">
        <v>25532.32</v>
      </c>
      <c r="AB38" t="n">
        <v>26035.53</v>
      </c>
      <c r="AC38" t="n">
        <v>25402.23</v>
      </c>
      <c r="AD38" t="inlineStr"/>
    </row>
    <row r="39">
      <c r="A39">
        <f>HYPERLINK("../../data/JAN20_DYNAMIC/JAN19/OTM/NIFTY2612025650CE_strategy.csv", "NIFTY2612025650CE")</f>
        <v/>
      </c>
      <c r="B39" t="inlineStr">
        <is>
          <t>CE</t>
        </is>
      </c>
      <c r="C39" t="inlineStr">
        <is>
          <t>14:21:01</t>
        </is>
      </c>
      <c r="D39" t="inlineStr">
        <is>
          <t>14:22:00</t>
        </is>
      </c>
      <c r="E39" t="n">
        <v>55.65</v>
      </c>
      <c r="F39" t="n">
        <v>51.2</v>
      </c>
      <c r="G39" t="n">
        <v>101181.47</v>
      </c>
      <c r="H39" t="n">
        <v>109979.86</v>
      </c>
      <c r="I39" t="n">
        <v>76985.89999999999</v>
      </c>
      <c r="J39" t="inlineStr">
        <is>
          <t>EXECUTED</t>
        </is>
      </c>
      <c r="K39" t="n">
        <v>0.72</v>
      </c>
      <c r="L39" t="n">
        <v>-18.42</v>
      </c>
      <c r="M39">
        <f>HYPERLINK("../../data/JAN20_DYNAMIC/JAN19/OTM/NIFTY2612025650CE_strategy.html", "View")</f>
        <v/>
      </c>
      <c r="N39" t="inlineStr"/>
      <c r="O39" t="inlineStr">
        <is>
          <t>BEARISH</t>
        </is>
      </c>
      <c r="P39" t="inlineStr">
        <is>
          <t>INCLUDED (HYBRID_NEUTRAL_ZONE)</t>
        </is>
      </c>
      <c r="Q39" t="n">
        <v>-8</v>
      </c>
      <c r="R39" t="inlineStr">
        <is>
          <t>Fixed Stop Loss</t>
        </is>
      </c>
      <c r="S39" t="n">
        <v>0.3168</v>
      </c>
      <c r="T39" t="inlineStr"/>
      <c r="U39" t="inlineStr">
        <is>
          <t>2026-01-19</t>
        </is>
      </c>
      <c r="V39" t="inlineStr">
        <is>
          <t>Below S1</t>
        </is>
      </c>
      <c r="W39" t="n">
        <v>25611.55</v>
      </c>
      <c r="X39" t="n">
        <v>25824.43</v>
      </c>
      <c r="Y39" t="n">
        <v>25613.33</v>
      </c>
      <c r="Z39" t="n">
        <v>25954.52</v>
      </c>
      <c r="AA39" t="n">
        <v>25532.32</v>
      </c>
      <c r="AB39" t="n">
        <v>26035.53</v>
      </c>
      <c r="AC39" t="n">
        <v>25402.23</v>
      </c>
      <c r="AD39" t="inlineStr"/>
    </row>
    <row r="40">
      <c r="A40">
        <f>HYPERLINK("../../data/JAN20_DYNAMIC/JAN19/OTM/NIFTY2612025550PE_strategy.csv", "NIFTY2612025550PE")</f>
        <v/>
      </c>
      <c r="B40" t="inlineStr">
        <is>
          <t>PE</t>
        </is>
      </c>
      <c r="C40" t="inlineStr">
        <is>
          <t>13:42:01</t>
        </is>
      </c>
      <c r="D40" t="inlineStr">
        <is>
          <t>13:46:00</t>
        </is>
      </c>
      <c r="E40" t="n">
        <v>70.75</v>
      </c>
      <c r="F40" t="n">
        <v>65.09</v>
      </c>
      <c r="G40" t="n">
        <v>83438.17999999999</v>
      </c>
      <c r="H40" t="n">
        <v>109890</v>
      </c>
      <c r="I40" t="n">
        <v>76923</v>
      </c>
      <c r="J40" t="inlineStr">
        <is>
          <t>EXECUTED</t>
        </is>
      </c>
      <c r="K40" t="n">
        <v>4.95</v>
      </c>
      <c r="L40" t="n">
        <v>-7.63</v>
      </c>
      <c r="M40">
        <f>HYPERLINK("../../data/JAN20_DYNAMIC/JAN19/OTM/NIFTY2612025550PE_strategy.html", "View")</f>
        <v/>
      </c>
      <c r="N40" t="inlineStr"/>
      <c r="O40" t="inlineStr">
        <is>
          <t>BULLISH</t>
        </is>
      </c>
      <c r="P40" t="inlineStr">
        <is>
          <t>INCLUDED (HYBRID_NEUTRAL_ZONE)</t>
        </is>
      </c>
      <c r="Q40" t="n">
        <v>-8</v>
      </c>
      <c r="R40" t="inlineStr">
        <is>
          <t>Fixed Stop Loss</t>
        </is>
      </c>
      <c r="S40" t="n">
        <v>0.303</v>
      </c>
      <c r="T40" t="inlineStr"/>
      <c r="U40" t="inlineStr">
        <is>
          <t>2026-01-19</t>
        </is>
      </c>
      <c r="V40" t="inlineStr">
        <is>
          <t>Below S1</t>
        </is>
      </c>
      <c r="W40" t="n">
        <v>25557.21</v>
      </c>
      <c r="X40" t="n">
        <v>25824.43</v>
      </c>
      <c r="Y40" t="n">
        <v>25613.33</v>
      </c>
      <c r="Z40" t="n">
        <v>25954.52</v>
      </c>
      <c r="AA40" t="n">
        <v>25532.32</v>
      </c>
      <c r="AB40" t="n">
        <v>26035.53</v>
      </c>
      <c r="AC40" t="n">
        <v>25402.23</v>
      </c>
      <c r="AD40" t="inlineStr"/>
    </row>
    <row r="41">
      <c r="A41">
        <f>HYPERLINK("../../data/JAN20_DYNAMIC/JAN19/OTM/NIFTY2612025550CE_strategy.csv", "NIFTY2612025550CE")</f>
        <v/>
      </c>
      <c r="B41" t="inlineStr">
        <is>
          <t>CE</t>
        </is>
      </c>
      <c r="C41" t="inlineStr">
        <is>
          <t>13:32:01</t>
        </is>
      </c>
      <c r="D41" t="inlineStr">
        <is>
          <t>13:50:00</t>
        </is>
      </c>
      <c r="E41" t="n">
        <v>67.90000000000001</v>
      </c>
      <c r="F41" t="n">
        <v>89.5</v>
      </c>
      <c r="G41" t="n">
        <v>109979.86</v>
      </c>
      <c r="H41" t="n">
        <v>109979.86</v>
      </c>
      <c r="I41" t="n">
        <v>76985.89999999999</v>
      </c>
      <c r="J41" t="inlineStr">
        <is>
          <t>EXECUTED</t>
        </is>
      </c>
      <c r="K41" t="n">
        <v>36.89</v>
      </c>
      <c r="L41" t="n">
        <v>-12</v>
      </c>
      <c r="M41">
        <f>HYPERLINK("../../data/JAN20_DYNAMIC/JAN19/OTM/NIFTY2612025550CE_strategy.html", "View")</f>
        <v/>
      </c>
      <c r="N41" t="inlineStr"/>
      <c r="O41" t="inlineStr">
        <is>
          <t>BULLISH</t>
        </is>
      </c>
      <c r="P41" t="inlineStr">
        <is>
          <t>INCLUDED (HYBRID_NEUTRAL_ZONE)</t>
        </is>
      </c>
      <c r="Q41" t="n">
        <v>31.81</v>
      </c>
      <c r="R41" t="inlineStr">
        <is>
          <t>Dynamic Trailing MA (Fast/Slow MA)</t>
        </is>
      </c>
      <c r="S41" t="n">
        <v>0.6894</v>
      </c>
      <c r="T41" t="n">
        <v>0.6395999999999999</v>
      </c>
      <c r="U41" t="inlineStr">
        <is>
          <t>2026-01-19</t>
        </is>
      </c>
      <c r="V41" t="inlineStr">
        <is>
          <t>Below S1</t>
        </is>
      </c>
      <c r="W41" t="n">
        <v>25543.09</v>
      </c>
      <c r="X41" t="n">
        <v>25824.43</v>
      </c>
      <c r="Y41" t="n">
        <v>25613.33</v>
      </c>
      <c r="Z41" t="n">
        <v>25954.52</v>
      </c>
      <c r="AA41" t="n">
        <v>25532.32</v>
      </c>
      <c r="AB41" t="n">
        <v>26035.53</v>
      </c>
      <c r="AC41" t="n">
        <v>25402.23</v>
      </c>
      <c r="AD41" t="inlineStr"/>
    </row>
    <row r="42">
      <c r="A42">
        <f>HYPERLINK("../../data/JAN20_DYNAMIC/JAN19/OTM/NIFTY2612025550CE_strategy.csv", "NIFTY2612025550CE")</f>
        <v/>
      </c>
      <c r="B42" t="inlineStr">
        <is>
          <t>CE</t>
        </is>
      </c>
      <c r="C42" t="inlineStr">
        <is>
          <t>13:22:01</t>
        </is>
      </c>
      <c r="D42" t="inlineStr">
        <is>
          <t>13:24:00</t>
        </is>
      </c>
      <c r="E42" t="n">
        <v>70.05</v>
      </c>
      <c r="F42" t="n">
        <v>64.45</v>
      </c>
      <c r="G42" t="n">
        <v>90693.67</v>
      </c>
      <c r="H42" t="n">
        <v>109890</v>
      </c>
      <c r="I42" t="n">
        <v>76923</v>
      </c>
      <c r="J42" t="inlineStr">
        <is>
          <t>EXECUTED</t>
        </is>
      </c>
      <c r="K42" t="n">
        <v>0</v>
      </c>
      <c r="L42" t="n">
        <v>-13.63</v>
      </c>
      <c r="M42">
        <f>HYPERLINK("../../data/JAN20_DYNAMIC/JAN19/OTM/NIFTY2612025550CE_strategy.html", "View")</f>
        <v/>
      </c>
      <c r="N42" t="inlineStr"/>
      <c r="O42" t="inlineStr">
        <is>
          <t>BULLISH</t>
        </is>
      </c>
      <c r="P42" t="inlineStr">
        <is>
          <t>INCLUDED (HYBRID_NEUTRAL_ZONE)</t>
        </is>
      </c>
      <c r="Q42" t="n">
        <v>-7.99</v>
      </c>
      <c r="R42" t="inlineStr">
        <is>
          <t>Fixed Stop Loss</t>
        </is>
      </c>
      <c r="S42" t="n">
        <v>0.373</v>
      </c>
      <c r="T42" t="inlineStr"/>
      <c r="U42" t="inlineStr">
        <is>
          <t>2026-01-19</t>
        </is>
      </c>
      <c r="V42" t="inlineStr">
        <is>
          <t>Below S1</t>
        </is>
      </c>
      <c r="W42" t="n">
        <v>25541.76</v>
      </c>
      <c r="X42" t="n">
        <v>25824.43</v>
      </c>
      <c r="Y42" t="n">
        <v>25613.33</v>
      </c>
      <c r="Z42" t="n">
        <v>25954.52</v>
      </c>
      <c r="AA42" t="n">
        <v>25532.32</v>
      </c>
      <c r="AB42" t="n">
        <v>26035.53</v>
      </c>
      <c r="AC42" t="n">
        <v>25402.23</v>
      </c>
      <c r="AD42" t="inlineStr"/>
    </row>
    <row r="43">
      <c r="A43">
        <f>HYPERLINK("../../data/JAN20_DYNAMIC/JAN19/OTM/NIFTY2612025500PE_strategy.csv", "NIFTY2612025500PE")</f>
        <v/>
      </c>
      <c r="B43" t="inlineStr">
        <is>
          <t>PE</t>
        </is>
      </c>
      <c r="C43" t="inlineStr">
        <is>
          <t>12:24:01</t>
        </is>
      </c>
      <c r="D43" t="inlineStr">
        <is>
          <t>12:45:00</t>
        </is>
      </c>
      <c r="E43" t="n">
        <v>54.6</v>
      </c>
      <c r="F43" t="n">
        <v>55.54</v>
      </c>
      <c r="G43" t="n">
        <v>98569.36</v>
      </c>
      <c r="H43" t="n">
        <v>109890</v>
      </c>
      <c r="I43" t="n">
        <v>76923</v>
      </c>
      <c r="J43" t="inlineStr">
        <is>
          <t>EXECUTED</t>
        </is>
      </c>
      <c r="K43" t="n">
        <v>20.15</v>
      </c>
      <c r="L43" t="n">
        <v>-15.48</v>
      </c>
      <c r="M43">
        <f>HYPERLINK("../../data/JAN20_DYNAMIC/JAN19/OTM/NIFTY2612025500PE_strategy.html", "View")</f>
        <v/>
      </c>
      <c r="N43" t="inlineStr"/>
      <c r="O43" t="inlineStr">
        <is>
          <t>BULLISH</t>
        </is>
      </c>
      <c r="P43" t="inlineStr">
        <is>
          <t>INCLUDED (HYBRID_NEUTRAL_ZONE)</t>
        </is>
      </c>
      <c r="Q43" t="n">
        <v>1.72</v>
      </c>
      <c r="R43" t="inlineStr">
        <is>
          <t>SuperTrend Stop Loss Exit</t>
        </is>
      </c>
      <c r="S43" t="n">
        <v>0.3867</v>
      </c>
      <c r="T43" t="n">
        <v>0.4323</v>
      </c>
      <c r="U43" t="inlineStr">
        <is>
          <t>2026-01-19</t>
        </is>
      </c>
      <c r="V43" t="inlineStr">
        <is>
          <t>Below S1</t>
        </is>
      </c>
      <c r="W43" t="n">
        <v>25534.36</v>
      </c>
      <c r="X43" t="n">
        <v>25824.43</v>
      </c>
      <c r="Y43" t="n">
        <v>25613.33</v>
      </c>
      <c r="Z43" t="n">
        <v>25954.52</v>
      </c>
      <c r="AA43" t="n">
        <v>25532.32</v>
      </c>
      <c r="AB43" t="n">
        <v>26035.53</v>
      </c>
      <c r="AC43" t="n">
        <v>25402.23</v>
      </c>
      <c r="AD43" t="inlineStr"/>
    </row>
    <row r="44">
      <c r="A44">
        <f>HYPERLINK("../../data/JAN20_DYNAMIC/JAN19/OTM/NIFTY2612025550PE_strategy.csv", "NIFTY2612025550PE")</f>
        <v/>
      </c>
      <c r="B44" t="inlineStr">
        <is>
          <t>PE</t>
        </is>
      </c>
      <c r="C44" t="inlineStr">
        <is>
          <t>09:55:01</t>
        </is>
      </c>
      <c r="D44" t="inlineStr">
        <is>
          <t>10:17:00</t>
        </is>
      </c>
      <c r="E44" t="n">
        <v>86.45</v>
      </c>
      <c r="F44" t="n">
        <v>95</v>
      </c>
      <c r="G44" t="n">
        <v>109890</v>
      </c>
      <c r="H44" t="n">
        <v>109890</v>
      </c>
      <c r="I44" t="n">
        <v>76923</v>
      </c>
      <c r="J44" t="inlineStr">
        <is>
          <t>EXECUTED</t>
        </is>
      </c>
      <c r="K44" t="n">
        <v>26.03</v>
      </c>
      <c r="L44" t="n">
        <v>-21.52</v>
      </c>
      <c r="M44">
        <f>HYPERLINK("../../data/JAN20_DYNAMIC/JAN19/OTM/NIFTY2612025550PE_strategy.html", "View")</f>
        <v/>
      </c>
      <c r="N44" t="inlineStr"/>
      <c r="O44" t="inlineStr">
        <is>
          <t>BEARISH</t>
        </is>
      </c>
      <c r="P44" t="inlineStr">
        <is>
          <t>INCLUDED (HYBRID_NEUTRAL_ZONE)</t>
        </is>
      </c>
      <c r="Q44" t="n">
        <v>9.890000000000001</v>
      </c>
      <c r="R44" t="inlineStr">
        <is>
          <t>Dynamic Trailing MA (Fast/Slow MA)</t>
        </is>
      </c>
      <c r="S44" t="n">
        <v>0.5627</v>
      </c>
      <c r="T44" t="n">
        <v>0.7974</v>
      </c>
      <c r="U44" t="inlineStr">
        <is>
          <t>2026-01-19</t>
        </is>
      </c>
      <c r="V44" t="inlineStr">
        <is>
          <t>Below S1</t>
        </is>
      </c>
      <c r="W44" t="n">
        <v>25552.94</v>
      </c>
      <c r="X44" t="n">
        <v>25824.43</v>
      </c>
      <c r="Y44" t="n">
        <v>25613.33</v>
      </c>
      <c r="Z44" t="n">
        <v>25954.52</v>
      </c>
      <c r="AA44" t="n">
        <v>25532.32</v>
      </c>
      <c r="AB44" t="n">
        <v>26035.53</v>
      </c>
      <c r="AC44" t="n">
        <v>25402.23</v>
      </c>
      <c r="AD44" t="inlineStr"/>
    </row>
    <row r="45">
      <c r="A45">
        <f>HYPERLINK("../../data/JAN27_DYNAMIC/JAN21/OTM/NIFTY26JAN25050PE_strategy.csv", "NIFTY26JAN25050PE")</f>
        <v/>
      </c>
      <c r="B45" t="inlineStr">
        <is>
          <t>PE</t>
        </is>
      </c>
      <c r="C45" t="inlineStr">
        <is>
          <t>11:57:01</t>
        </is>
      </c>
      <c r="D45" t="inlineStr">
        <is>
          <t>12:00:00</t>
        </is>
      </c>
      <c r="E45" t="n">
        <v>143.05</v>
      </c>
      <c r="F45" t="n">
        <v>133.75</v>
      </c>
      <c r="G45" t="n">
        <v>80428.7</v>
      </c>
      <c r="H45" t="n">
        <v>100000</v>
      </c>
      <c r="I45" t="n">
        <v>70000</v>
      </c>
      <c r="J45" t="inlineStr">
        <is>
          <t>EXECUTED</t>
        </is>
      </c>
      <c r="K45" t="n">
        <v>0</v>
      </c>
      <c r="L45" t="n">
        <v>-8.109999999999999</v>
      </c>
      <c r="M45">
        <f>HYPERLINK("../../data/JAN27_DYNAMIC/JAN21/OTM/NIFTY26JAN25050PE_strategy.html", "View")</f>
        <v/>
      </c>
      <c r="N45" t="inlineStr"/>
      <c r="O45" t="inlineStr">
        <is>
          <t>BEARISH</t>
        </is>
      </c>
      <c r="P45" t="inlineStr">
        <is>
          <t>INCLUDED (HYBRID_NEUTRAL_ZONE)</t>
        </is>
      </c>
      <c r="Q45" t="n">
        <v>-6.5</v>
      </c>
      <c r="R45" t="inlineStr">
        <is>
          <t>Fixed Stop Loss</t>
        </is>
      </c>
      <c r="S45" t="n">
        <v>0.4464</v>
      </c>
      <c r="T45" t="inlineStr"/>
      <c r="U45" t="inlineStr">
        <is>
          <t>2026-01-21</t>
        </is>
      </c>
      <c r="V45" t="inlineStr">
        <is>
          <t>Below S1</t>
        </is>
      </c>
      <c r="W45" t="n">
        <v>25057.17</v>
      </c>
      <c r="X45" t="n">
        <v>25487.88</v>
      </c>
      <c r="Y45" t="n">
        <v>25074.23</v>
      </c>
      <c r="Z45" t="n">
        <v>25743.27</v>
      </c>
      <c r="AA45" t="n">
        <v>24915.97</v>
      </c>
      <c r="AB45" t="n">
        <v>25901.53</v>
      </c>
      <c r="AC45" t="n">
        <v>24660.58</v>
      </c>
      <c r="AD45" t="inlineStr"/>
    </row>
    <row r="46">
      <c r="A46">
        <f>HYPERLINK("../../data/JAN27_DYNAMIC/JAN21/OTM/NIFTY26JAN25000CE_strategy.csv", "NIFTY26JAN25000CE")</f>
        <v/>
      </c>
      <c r="B46" t="inlineStr">
        <is>
          <t>CE</t>
        </is>
      </c>
      <c r="C46" t="inlineStr">
        <is>
          <t>11:02:01</t>
        </is>
      </c>
      <c r="D46" t="inlineStr">
        <is>
          <t>11:05:00</t>
        </is>
      </c>
      <c r="E46" t="n">
        <v>199.05</v>
      </c>
      <c r="F46" t="n">
        <v>186.11</v>
      </c>
      <c r="G46" t="n">
        <v>86020</v>
      </c>
      <c r="H46" t="n">
        <v>100000</v>
      </c>
      <c r="I46" t="n">
        <v>70000</v>
      </c>
      <c r="J46" t="inlineStr">
        <is>
          <t>EXECUTED</t>
        </is>
      </c>
      <c r="K46" t="n">
        <v>0</v>
      </c>
      <c r="L46" t="n">
        <v>-15.02</v>
      </c>
      <c r="M46">
        <f>HYPERLINK("../../data/JAN27_DYNAMIC/JAN21/OTM/NIFTY26JAN25000CE_strategy.html", "View")</f>
        <v/>
      </c>
      <c r="N46" t="inlineStr"/>
      <c r="O46" t="inlineStr">
        <is>
          <t>NEUTRAL</t>
        </is>
      </c>
      <c r="P46" t="inlineStr">
        <is>
          <t>INCLUDED</t>
        </is>
      </c>
      <c r="Q46" t="n">
        <v>-6.5</v>
      </c>
      <c r="R46" t="inlineStr">
        <is>
          <t>Fixed SL Exit</t>
        </is>
      </c>
      <c r="S46" t="n">
        <v>0.5034</v>
      </c>
      <c r="T46" t="inlineStr"/>
      <c r="U46" t="inlineStr">
        <is>
          <t>2026-01-21</t>
        </is>
      </c>
      <c r="V46" t="inlineStr">
        <is>
          <t>Below S1</t>
        </is>
      </c>
      <c r="W46" t="n">
        <v>25001.74</v>
      </c>
      <c r="X46" t="n">
        <v>25487.88</v>
      </c>
      <c r="Y46" t="n">
        <v>25074.23</v>
      </c>
      <c r="Z46" t="n">
        <v>25743.27</v>
      </c>
      <c r="AA46" t="n">
        <v>24915.97</v>
      </c>
      <c r="AB46" t="n">
        <v>25901.53</v>
      </c>
      <c r="AC46" t="n">
        <v>24660.58</v>
      </c>
      <c r="AD46" t="inlineStr"/>
    </row>
    <row r="47">
      <c r="A47">
        <f>HYPERLINK("../../data/JAN27_DYNAMIC/JAN23/OTM/NIFTY26JAN25100CE_strategy.csv", "NIFTY26JAN25100CE")</f>
        <v/>
      </c>
      <c r="B47" t="inlineStr">
        <is>
          <t>CE</t>
        </is>
      </c>
      <c r="C47" t="inlineStr">
        <is>
          <t>15:16:01</t>
        </is>
      </c>
      <c r="D47" t="inlineStr">
        <is>
          <t>15:17:00</t>
        </is>
      </c>
      <c r="E47" t="n">
        <v>108.75</v>
      </c>
      <c r="F47" t="n">
        <v>100.59</v>
      </c>
      <c r="G47" t="n">
        <v>87197</v>
      </c>
      <c r="H47" t="n">
        <v>114433.11</v>
      </c>
      <c r="I47" t="n">
        <v>80103.17999999999</v>
      </c>
      <c r="J47" t="inlineStr">
        <is>
          <t>EXECUTED</t>
        </is>
      </c>
      <c r="K47" t="n">
        <v>0</v>
      </c>
      <c r="L47" t="n">
        <v>-11.22</v>
      </c>
      <c r="M47">
        <f>HYPERLINK("../../data/JAN27_DYNAMIC/JAN23/OTM/NIFTY26JAN25100CE_strategy.html", "View")</f>
        <v/>
      </c>
      <c r="N47" t="inlineStr"/>
      <c r="O47" t="inlineStr">
        <is>
          <t>BULLISH</t>
        </is>
      </c>
      <c r="P47" t="inlineStr">
        <is>
          <t>INCLUDED (HYBRID_NEUTRAL_ZONE)</t>
        </is>
      </c>
      <c r="Q47" t="n">
        <v>-7.5</v>
      </c>
      <c r="R47" t="inlineStr">
        <is>
          <t>EOD Exit</t>
        </is>
      </c>
      <c r="S47" t="n">
        <v>0.4328</v>
      </c>
      <c r="T47" t="inlineStr"/>
      <c r="U47" t="inlineStr">
        <is>
          <t>2026-01-23</t>
        </is>
      </c>
      <c r="V47" t="inlineStr">
        <is>
          <t>Below S1</t>
        </is>
      </c>
      <c r="W47" t="n">
        <v>25056.99</v>
      </c>
      <c r="X47" t="n">
        <v>25427.6</v>
      </c>
      <c r="Y47" t="n">
        <v>25160.35</v>
      </c>
      <c r="Z47" t="n">
        <v>25565.3</v>
      </c>
      <c r="AA47" t="n">
        <v>25030.8</v>
      </c>
      <c r="AB47" t="n">
        <v>25694.85</v>
      </c>
      <c r="AC47" t="n">
        <v>24893.1</v>
      </c>
      <c r="AD47" t="inlineStr"/>
    </row>
    <row r="48">
      <c r="A48">
        <f>HYPERLINK("../../data/JAN27_DYNAMIC/JAN23/OTM/NIFTY26JAN25100CE_strategy.csv", "NIFTY26JAN25100CE")</f>
        <v/>
      </c>
      <c r="B48" t="inlineStr">
        <is>
          <t>CE</t>
        </is>
      </c>
      <c r="C48" t="inlineStr">
        <is>
          <t>14:04:01</t>
        </is>
      </c>
      <c r="D48" t="inlineStr">
        <is>
          <t>14:53:00</t>
        </is>
      </c>
      <c r="E48" t="n">
        <v>108.85</v>
      </c>
      <c r="F48" t="n">
        <v>115.15</v>
      </c>
      <c r="G48" t="n">
        <v>94267.02</v>
      </c>
      <c r="H48" t="n">
        <v>114433.11</v>
      </c>
      <c r="I48" t="n">
        <v>80103.17999999999</v>
      </c>
      <c r="J48" t="inlineStr">
        <is>
          <t>EXECUTED</t>
        </is>
      </c>
      <c r="K48" t="n">
        <v>20.35</v>
      </c>
      <c r="L48" t="n">
        <v>-5.37</v>
      </c>
      <c r="M48">
        <f>HYPERLINK("../../data/JAN27_DYNAMIC/JAN23/OTM/NIFTY26JAN25100CE_strategy.html", "View")</f>
        <v/>
      </c>
      <c r="N48" t="inlineStr"/>
      <c r="O48" t="inlineStr">
        <is>
          <t>BEARISH</t>
        </is>
      </c>
      <c r="P48" t="inlineStr">
        <is>
          <t>INCLUDED (HYBRID_NEUTRAL_ZONE)</t>
        </is>
      </c>
      <c r="Q48" t="n">
        <v>5.79</v>
      </c>
      <c r="R48" t="inlineStr">
        <is>
          <t>Dynamic Trailing MA (Fast/Slow MA)</t>
        </is>
      </c>
      <c r="S48" t="n">
        <v>0.7265</v>
      </c>
      <c r="T48" t="n">
        <v>0.6984</v>
      </c>
      <c r="U48" t="inlineStr">
        <is>
          <t>2026-01-23</t>
        </is>
      </c>
      <c r="V48" t="inlineStr">
        <is>
          <t>Below S1</t>
        </is>
      </c>
      <c r="W48" t="n">
        <v>25065.45</v>
      </c>
      <c r="X48" t="n">
        <v>25427.6</v>
      </c>
      <c r="Y48" t="n">
        <v>25160.35</v>
      </c>
      <c r="Z48" t="n">
        <v>25565.3</v>
      </c>
      <c r="AA48" t="n">
        <v>25030.8</v>
      </c>
      <c r="AB48" t="n">
        <v>25694.85</v>
      </c>
      <c r="AC48" t="n">
        <v>24893.1</v>
      </c>
      <c r="AD48" t="inlineStr"/>
    </row>
    <row r="49">
      <c r="A49">
        <f>HYPERLINK("../../data/FEB03_DYNAMIC/JAN29/OTM/NIFTY2620325250CE_strategy.csv", "NIFTY2620325250CE")</f>
        <v/>
      </c>
      <c r="B49" t="inlineStr">
        <is>
          <t>CE</t>
        </is>
      </c>
      <c r="C49" t="inlineStr">
        <is>
          <t>10:53:01</t>
        </is>
      </c>
      <c r="D49" t="inlineStr">
        <is>
          <t>11:26:00</t>
        </is>
      </c>
      <c r="E49" t="n">
        <v>194.5</v>
      </c>
      <c r="F49" t="n">
        <v>217.53</v>
      </c>
      <c r="G49" t="n">
        <v>93676.62</v>
      </c>
      <c r="H49" t="n">
        <v>100000</v>
      </c>
      <c r="I49" t="n">
        <v>70000</v>
      </c>
      <c r="J49" t="inlineStr">
        <is>
          <t>EXECUTED</t>
        </is>
      </c>
      <c r="K49" t="n">
        <v>23.7</v>
      </c>
      <c r="L49" t="n">
        <v>-6.76</v>
      </c>
      <c r="M49">
        <f>HYPERLINK("../../data/FEB03_DYNAMIC/JAN29/OTM/NIFTY2620325250CE_strategy.html", "View")</f>
        <v/>
      </c>
      <c r="N49" t="inlineStr"/>
      <c r="O49" t="inlineStr">
        <is>
          <t>NEUTRAL</t>
        </is>
      </c>
      <c r="P49" t="inlineStr">
        <is>
          <t>INCLUDED</t>
        </is>
      </c>
      <c r="Q49" t="n">
        <v>11.84</v>
      </c>
      <c r="R49" t="inlineStr">
        <is>
          <t>SuperTrend Stop Loss Exit</t>
        </is>
      </c>
      <c r="S49" t="n">
        <v>0.7601</v>
      </c>
      <c r="T49" t="n">
        <v>0.8359</v>
      </c>
      <c r="U49" t="inlineStr">
        <is>
          <t>2026-01-29</t>
        </is>
      </c>
      <c r="V49" t="inlineStr">
        <is>
          <t>Below S1</t>
        </is>
      </c>
      <c r="W49" t="n">
        <v>25219.95</v>
      </c>
      <c r="X49" t="n">
        <v>25414.02</v>
      </c>
      <c r="Y49" t="n">
        <v>25229.57</v>
      </c>
      <c r="Z49" t="n">
        <v>25485.28</v>
      </c>
      <c r="AA49" t="n">
        <v>25116.38</v>
      </c>
      <c r="AB49" t="n">
        <v>25598.47</v>
      </c>
      <c r="AC49" t="n">
        <v>25045.12</v>
      </c>
      <c r="AD49" t="inlineStr"/>
    </row>
    <row r="50">
      <c r="A50">
        <f>HYPERLINK("../../data/FEB03_DYNAMIC/JAN29/OTM/NIFTY2620325200CE_strategy.csv", "NIFTY2620325200CE")</f>
        <v/>
      </c>
      <c r="B50" t="inlineStr">
        <is>
          <t>CE</t>
        </is>
      </c>
      <c r="C50" t="inlineStr">
        <is>
          <t>10:25:01</t>
        </is>
      </c>
      <c r="D50" t="inlineStr">
        <is>
          <t>10:40:00</t>
        </is>
      </c>
      <c r="E50" t="n">
        <v>221.85</v>
      </c>
      <c r="F50" t="n">
        <v>207.43</v>
      </c>
      <c r="G50" t="n">
        <v>83759.5</v>
      </c>
      <c r="H50" t="n">
        <v>100000</v>
      </c>
      <c r="I50" t="n">
        <v>70000</v>
      </c>
      <c r="J50" t="inlineStr">
        <is>
          <t>EXECUTED</t>
        </is>
      </c>
      <c r="K50" t="n">
        <v>1.83</v>
      </c>
      <c r="L50" t="n">
        <v>-8.83</v>
      </c>
      <c r="M50">
        <f>HYPERLINK("../../data/FEB03_DYNAMIC/JAN29/OTM/NIFTY2620325200CE_strategy.html", "View")</f>
        <v/>
      </c>
      <c r="N50" t="inlineStr"/>
      <c r="O50" t="inlineStr">
        <is>
          <t>NEUTRAL</t>
        </is>
      </c>
      <c r="P50" t="inlineStr">
        <is>
          <t>INCLUDED</t>
        </is>
      </c>
      <c r="Q50" t="n">
        <v>-6.5</v>
      </c>
      <c r="R50" t="inlineStr">
        <is>
          <t>Fixed Stop Loss</t>
        </is>
      </c>
      <c r="S50" t="n">
        <v>0.523</v>
      </c>
      <c r="T50" t="inlineStr"/>
      <c r="U50" t="inlineStr">
        <is>
          <t>2026-01-29</t>
        </is>
      </c>
      <c r="V50" t="inlineStr">
        <is>
          <t>Below S1</t>
        </is>
      </c>
      <c r="W50" t="n">
        <v>25201.49</v>
      </c>
      <c r="X50" t="n">
        <v>25414.02</v>
      </c>
      <c r="Y50" t="n">
        <v>25229.57</v>
      </c>
      <c r="Z50" t="n">
        <v>25485.28</v>
      </c>
      <c r="AA50" t="n">
        <v>25116.38</v>
      </c>
      <c r="AB50" t="n">
        <v>25598.47</v>
      </c>
      <c r="AC50" t="n">
        <v>25045.12</v>
      </c>
      <c r="AD50" t="inlineStr"/>
    </row>
    <row r="51">
      <c r="A51">
        <f>HYPERLINK("../../data/FEB03_DYNAMIC/JAN29/OTM/NIFTY2620325200CE_strategy.csv", "NIFTY2620325200CE")</f>
        <v/>
      </c>
      <c r="B51" t="inlineStr">
        <is>
          <t>CE</t>
        </is>
      </c>
      <c r="C51" t="inlineStr">
        <is>
          <t>10:13:01</t>
        </is>
      </c>
      <c r="D51" t="inlineStr">
        <is>
          <t>10:21:00</t>
        </is>
      </c>
      <c r="E51" t="n">
        <v>216.4</v>
      </c>
      <c r="F51" t="n">
        <v>207.33</v>
      </c>
      <c r="G51" t="n">
        <v>89582.35000000001</v>
      </c>
      <c r="H51" t="n">
        <v>100000</v>
      </c>
      <c r="I51" t="n">
        <v>70000</v>
      </c>
      <c r="J51" t="inlineStr">
        <is>
          <t>EXECUTED</t>
        </is>
      </c>
      <c r="K51" t="n">
        <v>5.36</v>
      </c>
      <c r="L51" t="n">
        <v>-3.88</v>
      </c>
      <c r="M51">
        <f>HYPERLINK("../../data/FEB03_DYNAMIC/JAN29/OTM/NIFTY2620325200CE_strategy.html", "View")</f>
        <v/>
      </c>
      <c r="N51" t="inlineStr"/>
      <c r="O51" t="inlineStr">
        <is>
          <t>BULLISH</t>
        </is>
      </c>
      <c r="P51" t="inlineStr">
        <is>
          <t>INCLUDED (HYBRID_NEUTRAL_ZONE)</t>
        </is>
      </c>
      <c r="Q51" t="n">
        <v>-4.19</v>
      </c>
      <c r="R51" t="inlineStr">
        <is>
          <t>SuperTrend Stop Loss Exit</t>
        </is>
      </c>
      <c r="S51" t="n">
        <v>0.6719000000000001</v>
      </c>
      <c r="T51" t="inlineStr"/>
      <c r="U51" t="inlineStr">
        <is>
          <t>2026-01-29</t>
        </is>
      </c>
      <c r="V51" t="inlineStr">
        <is>
          <t>Below S1</t>
        </is>
      </c>
      <c r="W51" t="n">
        <v>25204.04</v>
      </c>
      <c r="X51" t="n">
        <v>25414.02</v>
      </c>
      <c r="Y51" t="n">
        <v>25229.57</v>
      </c>
      <c r="Z51" t="n">
        <v>25485.28</v>
      </c>
      <c r="AA51" t="n">
        <v>25116.38</v>
      </c>
      <c r="AB51" t="n">
        <v>25598.47</v>
      </c>
      <c r="AC51" t="n">
        <v>25045.12</v>
      </c>
      <c r="AD51" t="inlineStr"/>
    </row>
    <row r="52">
      <c r="A52">
        <f>HYPERLINK("../../data/FEB10_DYNAMIC/FEB05/OTM/NIFTY2621025600PE_strategy.csv", "NIFTY2621025600PE")</f>
        <v/>
      </c>
      <c r="B52" t="inlineStr">
        <is>
          <t>PE</t>
        </is>
      </c>
      <c r="C52" t="inlineStr">
        <is>
          <t>14:47:01</t>
        </is>
      </c>
      <c r="D52" t="inlineStr">
        <is>
          <t>14:55:00</t>
        </is>
      </c>
      <c r="E52" t="n">
        <v>117.1</v>
      </c>
      <c r="F52" t="n">
        <v>107.73</v>
      </c>
      <c r="G52" t="n">
        <v>91078.78999999999</v>
      </c>
      <c r="H52" t="n">
        <v>110419.76</v>
      </c>
      <c r="I52" t="n">
        <v>77293.83</v>
      </c>
      <c r="J52" t="inlineStr">
        <is>
          <t>EXECUTED</t>
        </is>
      </c>
      <c r="K52" t="n">
        <v>2.13</v>
      </c>
      <c r="L52" t="n">
        <v>-7.3</v>
      </c>
      <c r="M52">
        <f>HYPERLINK("../../data/FEB10_DYNAMIC/FEB05/OTM/NIFTY2621025600PE_strategy.html", "View")</f>
        <v/>
      </c>
      <c r="N52" t="inlineStr"/>
      <c r="O52" t="inlineStr">
        <is>
          <t>NEUTRAL</t>
        </is>
      </c>
      <c r="P52" t="inlineStr">
        <is>
          <t>INCLUDED</t>
        </is>
      </c>
      <c r="Q52" t="n">
        <v>-8</v>
      </c>
      <c r="R52" t="inlineStr">
        <is>
          <t>Fixed Stop Loss</t>
        </is>
      </c>
      <c r="S52" t="n">
        <v>0.5749</v>
      </c>
      <c r="T52" t="inlineStr"/>
      <c r="U52" t="inlineStr">
        <is>
          <t>2026-02-05</t>
        </is>
      </c>
      <c r="V52" t="inlineStr">
        <is>
          <t>Below S1</t>
        </is>
      </c>
      <c r="W52" t="n">
        <v>25614.49</v>
      </c>
      <c r="X52" t="n">
        <v>25875.05</v>
      </c>
      <c r="Y52" t="n">
        <v>25620.45</v>
      </c>
      <c r="Z52" t="n">
        <v>25974.1</v>
      </c>
      <c r="AA52" t="n">
        <v>25464.9</v>
      </c>
      <c r="AB52" t="n">
        <v>26129.65</v>
      </c>
      <c r="AC52" t="n">
        <v>25365.85</v>
      </c>
      <c r="AD52" t="inlineStr"/>
    </row>
    <row r="53">
      <c r="A53">
        <f>HYPERLINK("../../data/FEB10_DYNAMIC/FEB06/OTM/NIFTY2621025600CE_strategy.csv", "NIFTY2621025600CE")</f>
        <v/>
      </c>
      <c r="B53" t="inlineStr">
        <is>
          <t>CE</t>
        </is>
      </c>
      <c r="C53" t="inlineStr">
        <is>
          <t>13:34:01</t>
        </is>
      </c>
      <c r="D53" t="inlineStr">
        <is>
          <t>14:16:00</t>
        </is>
      </c>
      <c r="E53" t="n">
        <v>84.25</v>
      </c>
      <c r="F53" t="n">
        <v>108.4</v>
      </c>
      <c r="G53" t="n">
        <v>196581.06</v>
      </c>
      <c r="H53" t="n">
        <v>196581.06</v>
      </c>
      <c r="I53" t="n">
        <v>137606.74</v>
      </c>
      <c r="J53" t="inlineStr">
        <is>
          <t>EXECUTED</t>
        </is>
      </c>
      <c r="K53" t="n">
        <v>51.63</v>
      </c>
      <c r="L53" t="n">
        <v>-5.7</v>
      </c>
      <c r="M53">
        <f>HYPERLINK("../../data/FEB10_DYNAMIC/FEB06/OTM/NIFTY2621025600CE_strategy.html", "View")</f>
        <v/>
      </c>
      <c r="N53" t="inlineStr"/>
      <c r="O53" t="inlineStr">
        <is>
          <t>NEUTRAL</t>
        </is>
      </c>
      <c r="P53" t="inlineStr">
        <is>
          <t>INCLUDED</t>
        </is>
      </c>
      <c r="Q53" t="n">
        <v>28.66</v>
      </c>
      <c r="R53" t="inlineStr">
        <is>
          <t>SuperTrend Stop Loss Exit</t>
        </is>
      </c>
      <c r="S53" t="n">
        <v>0.4762</v>
      </c>
      <c r="T53" t="n">
        <v>0.5841</v>
      </c>
      <c r="U53" t="inlineStr">
        <is>
          <t>2026-02-06</t>
        </is>
      </c>
      <c r="V53" t="inlineStr">
        <is>
          <t>Below S1</t>
        </is>
      </c>
      <c r="W53" t="n">
        <v>25561.68</v>
      </c>
      <c r="X53" t="n">
        <v>25740.47</v>
      </c>
      <c r="Y53" t="n">
        <v>25562.32</v>
      </c>
      <c r="Z53" t="n">
        <v>25838.13</v>
      </c>
      <c r="AA53" t="n">
        <v>25481.83</v>
      </c>
      <c r="AB53" t="n">
        <v>25918.62</v>
      </c>
      <c r="AC53" t="n">
        <v>25384.17</v>
      </c>
      <c r="AD53" t="inlineStr"/>
    </row>
    <row r="54">
      <c r="A54">
        <f>HYPERLINK("../../data/FEB10_DYNAMIC/FEB06/OTM/NIFTY2621025550PE_strategy.csv", "NIFTY2621025550PE")</f>
        <v/>
      </c>
      <c r="B54" t="inlineStr">
        <is>
          <t>PE</t>
        </is>
      </c>
      <c r="C54" t="inlineStr">
        <is>
          <t>13:32:01</t>
        </is>
      </c>
      <c r="D54" t="inlineStr">
        <is>
          <t>13:36:00</t>
        </is>
      </c>
      <c r="E54" t="n">
        <v>92.95</v>
      </c>
      <c r="F54" t="n">
        <v>85.51000000000001</v>
      </c>
      <c r="G54" t="n">
        <v>152791.12</v>
      </c>
      <c r="H54" t="n">
        <v>173811.94</v>
      </c>
      <c r="I54" t="n">
        <v>121668.36</v>
      </c>
      <c r="J54" t="inlineStr">
        <is>
          <t>EXECUTED</t>
        </is>
      </c>
      <c r="K54" t="n">
        <v>9.25</v>
      </c>
      <c r="L54" t="n">
        <v>-6.24</v>
      </c>
      <c r="M54">
        <f>HYPERLINK("../../data/FEB10_DYNAMIC/FEB06/OTM/NIFTY2621025550PE_strategy.html", "View")</f>
        <v/>
      </c>
      <c r="N54" t="inlineStr"/>
      <c r="O54" t="inlineStr">
        <is>
          <t>NEUTRAL</t>
        </is>
      </c>
      <c r="P54" t="inlineStr">
        <is>
          <t>INCLUDED</t>
        </is>
      </c>
      <c r="Q54" t="n">
        <v>-8</v>
      </c>
      <c r="R54" t="inlineStr">
        <is>
          <t>Fixed Stop Loss</t>
        </is>
      </c>
      <c r="S54" t="n">
        <v>0.4931</v>
      </c>
      <c r="T54" t="n">
        <v>0.5995</v>
      </c>
      <c r="U54" t="inlineStr">
        <is>
          <t>2026-02-06</t>
        </is>
      </c>
      <c r="V54" t="inlineStr">
        <is>
          <t>Below S1</t>
        </is>
      </c>
      <c r="W54" t="n">
        <v>25558.36</v>
      </c>
      <c r="X54" t="n">
        <v>25740.47</v>
      </c>
      <c r="Y54" t="n">
        <v>25562.32</v>
      </c>
      <c r="Z54" t="n">
        <v>25838.13</v>
      </c>
      <c r="AA54" t="n">
        <v>25481.83</v>
      </c>
      <c r="AB54" t="n">
        <v>25918.62</v>
      </c>
      <c r="AC54" t="n">
        <v>25384.17</v>
      </c>
      <c r="AD54" t="inlineStr"/>
    </row>
    <row r="55">
      <c r="A55">
        <f>HYPERLINK("../../data/FEB10_DYNAMIC/FEB06/OTM/NIFTY2621025550CE_strategy.csv", "NIFTY2621025550CE")</f>
        <v/>
      </c>
      <c r="B55" t="inlineStr">
        <is>
          <t>CE</t>
        </is>
      </c>
      <c r="C55" t="inlineStr">
        <is>
          <t>12:53:01</t>
        </is>
      </c>
      <c r="D55" t="inlineStr">
        <is>
          <t>13:33:00</t>
        </is>
      </c>
      <c r="E55" t="n">
        <v>107.55</v>
      </c>
      <c r="F55" t="n">
        <v>102.76</v>
      </c>
      <c r="G55" t="n">
        <v>166077.31</v>
      </c>
      <c r="H55" t="n">
        <v>173811.94</v>
      </c>
      <c r="I55" t="n">
        <v>121668.36</v>
      </c>
      <c r="J55" t="inlineStr">
        <is>
          <t>EXECUTED</t>
        </is>
      </c>
      <c r="K55" t="n">
        <v>9.949999999999999</v>
      </c>
      <c r="L55" t="n">
        <v>-5.25</v>
      </c>
      <c r="M55">
        <f>HYPERLINK("../../data/FEB10_DYNAMIC/FEB06/OTM/NIFTY2621025550CE_strategy.html", "View")</f>
        <v/>
      </c>
      <c r="N55" t="inlineStr"/>
      <c r="O55" t="inlineStr">
        <is>
          <t>BEARISH</t>
        </is>
      </c>
      <c r="P55" t="inlineStr">
        <is>
          <t>INCLUDED (HYBRID_NEUTRAL_ZONE)</t>
        </is>
      </c>
      <c r="Q55" t="n">
        <v>-4.45</v>
      </c>
      <c r="R55" t="inlineStr">
        <is>
          <t>SuperTrend Stop Loss Exit</t>
        </is>
      </c>
      <c r="S55" t="n">
        <v>0.4094</v>
      </c>
      <c r="T55" t="n">
        <v>0.6146</v>
      </c>
      <c r="U55" t="inlineStr">
        <is>
          <t>2026-02-06</t>
        </is>
      </c>
      <c r="V55" t="inlineStr">
        <is>
          <t>Below S1</t>
        </is>
      </c>
      <c r="W55" t="n">
        <v>25544.45</v>
      </c>
      <c r="X55" t="n">
        <v>25740.47</v>
      </c>
      <c r="Y55" t="n">
        <v>25562.32</v>
      </c>
      <c r="Z55" t="n">
        <v>25838.13</v>
      </c>
      <c r="AA55" t="n">
        <v>25481.83</v>
      </c>
      <c r="AB55" t="n">
        <v>25918.62</v>
      </c>
      <c r="AC55" t="n">
        <v>25384.17</v>
      </c>
      <c r="AD55" t="inlineStr"/>
    </row>
    <row r="56">
      <c r="A56">
        <f>HYPERLINK("../../data/FEB10_DYNAMIC/FEB06/OTM/NIFTY2621025550CE_strategy.csv", "NIFTY2621025550CE")</f>
        <v/>
      </c>
      <c r="B56" t="inlineStr">
        <is>
          <t>CE</t>
        </is>
      </c>
      <c r="C56" t="inlineStr">
        <is>
          <t>10:58:01</t>
        </is>
      </c>
      <c r="D56" t="inlineStr">
        <is>
          <t>12:01:00</t>
        </is>
      </c>
      <c r="E56" t="n">
        <v>98.65000000000001</v>
      </c>
      <c r="F56" t="n">
        <v>175.75</v>
      </c>
      <c r="G56" t="n">
        <v>139216.61</v>
      </c>
      <c r="H56" t="n">
        <v>139216.61</v>
      </c>
      <c r="I56" t="n">
        <v>97451.63</v>
      </c>
      <c r="J56" t="inlineStr">
        <is>
          <t>EXECUTED</t>
        </is>
      </c>
      <c r="K56" t="n">
        <v>84.84999999999999</v>
      </c>
      <c r="L56" t="n">
        <v>-7.75</v>
      </c>
      <c r="M56">
        <f>HYPERLINK("../../data/FEB10_DYNAMIC/FEB06/OTM/NIFTY2621025550CE_strategy.html", "View")</f>
        <v/>
      </c>
      <c r="N56" t="inlineStr"/>
      <c r="O56" t="inlineStr">
        <is>
          <t>BEARISH</t>
        </is>
      </c>
      <c r="P56" t="inlineStr">
        <is>
          <t>INCLUDED (HYBRID_NEUTRAL_ZONE)</t>
        </is>
      </c>
      <c r="Q56" t="n">
        <v>78.16</v>
      </c>
      <c r="R56" t="inlineStr">
        <is>
          <t>Dynamic Trailing MA (Fast/Slow MA)</t>
        </is>
      </c>
      <c r="S56" t="n">
        <v>0.5189</v>
      </c>
      <c r="T56" t="n">
        <v>0.6736</v>
      </c>
      <c r="U56" t="inlineStr">
        <is>
          <t>2026-02-06</t>
        </is>
      </c>
      <c r="V56" t="inlineStr">
        <is>
          <t>Below S1</t>
        </is>
      </c>
      <c r="W56" t="n">
        <v>25513.33</v>
      </c>
      <c r="X56" t="n">
        <v>25740.47</v>
      </c>
      <c r="Y56" t="n">
        <v>25562.32</v>
      </c>
      <c r="Z56" t="n">
        <v>25838.13</v>
      </c>
      <c r="AA56" t="n">
        <v>25481.83</v>
      </c>
      <c r="AB56" t="n">
        <v>25918.62</v>
      </c>
      <c r="AC56" t="n">
        <v>25384.17</v>
      </c>
      <c r="AD56" t="inlineStr"/>
    </row>
    <row r="57">
      <c r="A57">
        <f>HYPERLINK("../../data/FEB10_DYNAMIC/FEB06/OTM/NIFTY2621025550CE_strategy.csv", "NIFTY2621025550CE")</f>
        <v/>
      </c>
      <c r="B57" t="inlineStr">
        <is>
          <t>CE</t>
        </is>
      </c>
      <c r="C57" t="inlineStr">
        <is>
          <t>10:37:01</t>
        </is>
      </c>
      <c r="D57" t="inlineStr">
        <is>
          <t>10:42:00</t>
        </is>
      </c>
      <c r="E57" t="n">
        <v>103.25</v>
      </c>
      <c r="F57" t="n">
        <v>94.98999999999999</v>
      </c>
      <c r="G57" t="n">
        <v>84640</v>
      </c>
      <c r="H57" t="n">
        <v>100000</v>
      </c>
      <c r="I57" t="n">
        <v>70000</v>
      </c>
      <c r="J57" t="inlineStr">
        <is>
          <t>EXECUTED</t>
        </is>
      </c>
      <c r="K57" t="n">
        <v>0.24</v>
      </c>
      <c r="L57" t="n">
        <v>-8.380000000000001</v>
      </c>
      <c r="M57">
        <f>HYPERLINK("../../data/FEB10_DYNAMIC/FEB06/OTM/NIFTY2621025550CE_strategy.html", "View")</f>
        <v/>
      </c>
      <c r="N57" t="inlineStr"/>
      <c r="O57" t="inlineStr">
        <is>
          <t>NEUTRAL</t>
        </is>
      </c>
      <c r="P57" t="inlineStr">
        <is>
          <t>INCLUDED</t>
        </is>
      </c>
      <c r="Q57" t="n">
        <v>-8</v>
      </c>
      <c r="R57" t="inlineStr">
        <is>
          <t>Fixed Stop Loss</t>
        </is>
      </c>
      <c r="S57" t="n">
        <v>0.2329</v>
      </c>
      <c r="T57" t="inlineStr"/>
      <c r="U57" t="inlineStr">
        <is>
          <t>2026-02-06</t>
        </is>
      </c>
      <c r="V57" t="inlineStr">
        <is>
          <t>Below S1</t>
        </is>
      </c>
      <c r="W57" t="n">
        <v>25512.19</v>
      </c>
      <c r="X57" t="n">
        <v>25740.47</v>
      </c>
      <c r="Y57" t="n">
        <v>25562.32</v>
      </c>
      <c r="Z57" t="n">
        <v>25838.13</v>
      </c>
      <c r="AA57" t="n">
        <v>25481.83</v>
      </c>
      <c r="AB57" t="n">
        <v>25918.62</v>
      </c>
      <c r="AC57" t="n">
        <v>25384.17</v>
      </c>
      <c r="AD57" t="inlineStr"/>
    </row>
    <row r="58">
      <c r="A58">
        <f>HYPERLINK("../../data/FEB10_DYNAMIC/FEB06/OTM/NIFTY2621025500PE_strategy.csv", "NIFTY2621025500PE")</f>
        <v/>
      </c>
      <c r="B58" t="inlineStr">
        <is>
          <t>PE</t>
        </is>
      </c>
      <c r="C58" t="inlineStr">
        <is>
          <t>10:26:01</t>
        </is>
      </c>
      <c r="D58" t="inlineStr">
        <is>
          <t>11:00:00</t>
        </is>
      </c>
      <c r="E58" t="n">
        <v>92.7</v>
      </c>
      <c r="F58" t="n">
        <v>93.02</v>
      </c>
      <c r="G58" t="n">
        <v>84936.24000000001</v>
      </c>
      <c r="H58" t="n">
        <v>100000</v>
      </c>
      <c r="I58" t="n">
        <v>70000</v>
      </c>
      <c r="J58" t="inlineStr">
        <is>
          <t>EXECUTED</t>
        </is>
      </c>
      <c r="K58" t="n">
        <v>22.33</v>
      </c>
      <c r="L58" t="n">
        <v>-12.62</v>
      </c>
      <c r="M58">
        <f>HYPERLINK("../../data/FEB10_DYNAMIC/FEB06/OTM/NIFTY2621025500PE_strategy.html", "View")</f>
        <v/>
      </c>
      <c r="N58" t="inlineStr"/>
      <c r="O58" t="inlineStr">
        <is>
          <t>BULLISH</t>
        </is>
      </c>
      <c r="P58" t="inlineStr">
        <is>
          <t>INCLUDED (HYBRID_NEUTRAL_ZONE)</t>
        </is>
      </c>
      <c r="Q58" t="n">
        <v>0.35</v>
      </c>
      <c r="R58" t="inlineStr">
        <is>
          <t>SuperTrend Stop Loss Exit</t>
        </is>
      </c>
      <c r="S58" t="n">
        <v>0.3775</v>
      </c>
      <c r="T58" t="n">
        <v>0.5693</v>
      </c>
      <c r="U58" t="inlineStr">
        <is>
          <t>2026-02-06</t>
        </is>
      </c>
      <c r="V58" t="inlineStr">
        <is>
          <t>Below S1</t>
        </is>
      </c>
      <c r="W58" t="n">
        <v>25536.35</v>
      </c>
      <c r="X58" t="n">
        <v>25740.47</v>
      </c>
      <c r="Y58" t="n">
        <v>25562.32</v>
      </c>
      <c r="Z58" t="n">
        <v>25838.13</v>
      </c>
      <c r="AA58" t="n">
        <v>25481.83</v>
      </c>
      <c r="AB58" t="n">
        <v>25918.62</v>
      </c>
      <c r="AC58" t="n">
        <v>25384.17</v>
      </c>
      <c r="AD58" t="inlineStr"/>
    </row>
    <row r="59">
      <c r="A59">
        <f>HYPERLINK("../../data/FEB17_DYNAMIC/FEB12/OTM/NIFTY2621725850PE_strategy.csv", "NIFTY2621725850PE")</f>
        <v/>
      </c>
      <c r="B59" t="inlineStr">
        <is>
          <t>PE</t>
        </is>
      </c>
      <c r="C59" t="inlineStr">
        <is>
          <t>13:32:01</t>
        </is>
      </c>
      <c r="D59" t="inlineStr">
        <is>
          <t>14:14:00</t>
        </is>
      </c>
      <c r="E59" t="n">
        <v>92.5</v>
      </c>
      <c r="F59" t="n">
        <v>102.15</v>
      </c>
      <c r="G59" t="n">
        <v>99926.92</v>
      </c>
      <c r="H59" t="n">
        <v>100904.35</v>
      </c>
      <c r="I59" t="n">
        <v>70633.03999999999</v>
      </c>
      <c r="J59" t="inlineStr">
        <is>
          <t>EXECUTED</t>
        </is>
      </c>
      <c r="K59" t="n">
        <v>18.92</v>
      </c>
      <c r="L59" t="n">
        <v>-11.46</v>
      </c>
      <c r="M59">
        <f>HYPERLINK("../../data/FEB17_DYNAMIC/FEB12/OTM/NIFTY2621725850PE_strategy.html", "View")</f>
        <v/>
      </c>
      <c r="N59" t="inlineStr"/>
      <c r="O59" t="inlineStr">
        <is>
          <t>NEUTRAL</t>
        </is>
      </c>
      <c r="P59" t="inlineStr">
        <is>
          <t>INCLUDED</t>
        </is>
      </c>
      <c r="Q59" t="n">
        <v>10.43</v>
      </c>
      <c r="R59" t="inlineStr">
        <is>
          <t>Dynamic Trailing MA (Fast/Slow MA)</t>
        </is>
      </c>
      <c r="S59" t="n">
        <v>0.5255</v>
      </c>
      <c r="T59" t="n">
        <v>0.8152</v>
      </c>
      <c r="U59" t="inlineStr">
        <is>
          <t>2026-02-12</t>
        </is>
      </c>
      <c r="V59" t="inlineStr">
        <is>
          <t>Below S1</t>
        </is>
      </c>
      <c r="W59" t="n">
        <v>25848.3</v>
      </c>
      <c r="X59" t="n">
        <v>26008.9</v>
      </c>
      <c r="Y59" t="n">
        <v>25899.3</v>
      </c>
      <c r="Z59" t="n">
        <v>26063.95</v>
      </c>
      <c r="AA59" t="n">
        <v>25844.75</v>
      </c>
      <c r="AB59" t="n">
        <v>26118.5</v>
      </c>
      <c r="AC59" t="n">
        <v>25789.7</v>
      </c>
      <c r="AD59" t="inlineStr"/>
    </row>
    <row r="60">
      <c r="A60">
        <f>HYPERLINK("../../data/FEB17_DYNAMIC/FEB12/OTM/NIFTY2621725900CE_strategy.csv", "NIFTY2621725900CE")</f>
        <v/>
      </c>
      <c r="B60" t="inlineStr">
        <is>
          <t>CE</t>
        </is>
      </c>
      <c r="C60" t="inlineStr">
        <is>
          <t>13:19:01</t>
        </is>
      </c>
      <c r="D60" t="inlineStr">
        <is>
          <t>13:21:00</t>
        </is>
      </c>
      <c r="E60" t="n">
        <v>97.59999999999999</v>
      </c>
      <c r="F60" t="n">
        <v>87.86</v>
      </c>
      <c r="G60" t="n">
        <v>90488.92999999999</v>
      </c>
      <c r="H60" t="n">
        <v>100904.35</v>
      </c>
      <c r="I60" t="n">
        <v>70633.03999999999</v>
      </c>
      <c r="J60" t="inlineStr">
        <is>
          <t>EXECUTED</t>
        </is>
      </c>
      <c r="K60" t="n">
        <v>0</v>
      </c>
      <c r="L60" t="n">
        <v>-12.91</v>
      </c>
      <c r="M60">
        <f>HYPERLINK("../../data/FEB17_DYNAMIC/FEB12/OTM/NIFTY2621725900CE_strategy.html", "View")</f>
        <v/>
      </c>
      <c r="N60" t="inlineStr"/>
      <c r="O60" t="inlineStr">
        <is>
          <t>BULLISH</t>
        </is>
      </c>
      <c r="P60" t="inlineStr">
        <is>
          <t>INCLUDED (HYBRID_NEUTRAL_ZONE)</t>
        </is>
      </c>
      <c r="Q60" t="n">
        <v>-9.98</v>
      </c>
      <c r="R60" t="inlineStr">
        <is>
          <t>SuperTrend Stop Loss Exit</t>
        </is>
      </c>
      <c r="S60" t="n">
        <v>0.4979</v>
      </c>
      <c r="T60" t="inlineStr"/>
      <c r="U60" t="inlineStr">
        <is>
          <t>2026-02-12</t>
        </is>
      </c>
      <c r="V60" t="inlineStr">
        <is>
          <t>Below S1</t>
        </is>
      </c>
      <c r="W60" t="n">
        <v>25857.12</v>
      </c>
      <c r="X60" t="n">
        <v>26008.9</v>
      </c>
      <c r="Y60" t="n">
        <v>25899.3</v>
      </c>
      <c r="Z60" t="n">
        <v>26063.95</v>
      </c>
      <c r="AA60" t="n">
        <v>25844.75</v>
      </c>
      <c r="AB60" t="n">
        <v>26118.5</v>
      </c>
      <c r="AC60" t="n">
        <v>25789.7</v>
      </c>
      <c r="AD60" t="inlineStr"/>
    </row>
    <row r="61">
      <c r="A61">
        <f>HYPERLINK("../../data/FEB17_DYNAMIC/FEB12/OTM/NIFTY2621725900CE_strategy.csv", "NIFTY2621725900CE")</f>
        <v/>
      </c>
      <c r="B61" t="inlineStr">
        <is>
          <t>CE</t>
        </is>
      </c>
      <c r="C61" t="inlineStr">
        <is>
          <t>10:46:01</t>
        </is>
      </c>
      <c r="D61" t="inlineStr">
        <is>
          <t>11:16:00</t>
        </is>
      </c>
      <c r="E61" t="n">
        <v>101.5</v>
      </c>
      <c r="F61" t="n">
        <v>93.38</v>
      </c>
      <c r="G61" t="n">
        <v>90012.8</v>
      </c>
      <c r="H61" t="n">
        <v>100000</v>
      </c>
      <c r="I61" t="n">
        <v>70000</v>
      </c>
      <c r="J61" t="inlineStr">
        <is>
          <t>EXECUTED</t>
        </is>
      </c>
      <c r="K61" t="n">
        <v>0</v>
      </c>
      <c r="L61" t="n">
        <v>-3.1</v>
      </c>
      <c r="M61">
        <f>HYPERLINK("../../data/FEB17_DYNAMIC/FEB12/OTM/NIFTY2621725900CE_strategy.html", "View")</f>
        <v/>
      </c>
      <c r="N61" t="inlineStr"/>
      <c r="O61" t="inlineStr">
        <is>
          <t>BEARISH</t>
        </is>
      </c>
      <c r="P61" t="inlineStr">
        <is>
          <t>INCLUDED (HYBRID_NEUTRAL_ZONE)</t>
        </is>
      </c>
      <c r="Q61" t="n">
        <v>-8</v>
      </c>
      <c r="R61" t="inlineStr">
        <is>
          <t>Fixed Stop Loss</t>
        </is>
      </c>
      <c r="S61" t="n">
        <v>0.2738</v>
      </c>
      <c r="T61" t="inlineStr"/>
      <c r="U61" t="inlineStr">
        <is>
          <t>2026-02-12</t>
        </is>
      </c>
      <c r="V61" t="inlineStr">
        <is>
          <t>Below S1</t>
        </is>
      </c>
      <c r="W61" t="n">
        <v>25862.04</v>
      </c>
      <c r="X61" t="n">
        <v>26008.9</v>
      </c>
      <c r="Y61" t="n">
        <v>25899.3</v>
      </c>
      <c r="Z61" t="n">
        <v>26063.95</v>
      </c>
      <c r="AA61" t="n">
        <v>25844.75</v>
      </c>
      <c r="AB61" t="n">
        <v>26118.5</v>
      </c>
      <c r="AC61" t="n">
        <v>25789.7</v>
      </c>
      <c r="AD61" t="inlineStr"/>
    </row>
    <row r="62">
      <c r="A62">
        <f>HYPERLINK("../../data/FEB17_DYNAMIC/FEB12/OTM/NIFTY2621725850PE_strategy.csv", "NIFTY2621725850PE")</f>
        <v/>
      </c>
      <c r="B62" t="inlineStr">
        <is>
          <t>PE</t>
        </is>
      </c>
      <c r="C62" t="inlineStr">
        <is>
          <t>10:38:01</t>
        </is>
      </c>
      <c r="D62" t="inlineStr">
        <is>
          <t>11:49:00</t>
        </is>
      </c>
      <c r="E62" t="n">
        <v>94.59999999999999</v>
      </c>
      <c r="F62" t="n">
        <v>106.05</v>
      </c>
      <c r="G62" t="n">
        <v>100904.35</v>
      </c>
      <c r="H62" t="n">
        <v>100904.35</v>
      </c>
      <c r="I62" t="n">
        <v>70633.03999999999</v>
      </c>
      <c r="J62" t="inlineStr">
        <is>
          <t>EXECUTED</t>
        </is>
      </c>
      <c r="K62" t="n">
        <v>17.34</v>
      </c>
      <c r="L62" t="n">
        <v>-10.68</v>
      </c>
      <c r="M62">
        <f>HYPERLINK("../../data/FEB17_DYNAMIC/FEB12/OTM/NIFTY2621725850PE_strategy.html", "View")</f>
        <v/>
      </c>
      <c r="N62" t="inlineStr"/>
      <c r="O62" t="inlineStr">
        <is>
          <t>BEARISH</t>
        </is>
      </c>
      <c r="P62" t="inlineStr">
        <is>
          <t>INCLUDED (HYBRID_NEUTRAL_ZONE)</t>
        </is>
      </c>
      <c r="Q62" t="n">
        <v>12.1</v>
      </c>
      <c r="R62" t="inlineStr">
        <is>
          <t>Dynamic Trailing MA (Fast/Slow MA)</t>
        </is>
      </c>
      <c r="S62" t="n">
        <v>0.7228</v>
      </c>
      <c r="T62" t="n">
        <v>0.875</v>
      </c>
      <c r="U62" t="inlineStr">
        <is>
          <t>2026-02-12</t>
        </is>
      </c>
      <c r="V62" t="inlineStr">
        <is>
          <t>Below S1</t>
        </is>
      </c>
      <c r="W62" t="n">
        <v>25856.24</v>
      </c>
      <c r="X62" t="n">
        <v>26008.9</v>
      </c>
      <c r="Y62" t="n">
        <v>25899.3</v>
      </c>
      <c r="Z62" t="n">
        <v>26063.95</v>
      </c>
      <c r="AA62" t="n">
        <v>25844.75</v>
      </c>
      <c r="AB62" t="n">
        <v>26118.5</v>
      </c>
      <c r="AC62" t="n">
        <v>25789.7</v>
      </c>
      <c r="AD62" t="inlineStr"/>
    </row>
    <row r="63">
      <c r="A63">
        <f>HYPERLINK("../../data/FEB24_DYNAMIC/FEB19/OTM/NIFTY26FEB25600CE_strategy.csv", "NIFTY26FEB25600CE")</f>
        <v/>
      </c>
      <c r="B63" t="inlineStr">
        <is>
          <t>CE</t>
        </is>
      </c>
      <c r="C63" t="inlineStr">
        <is>
          <t>13:38:01</t>
        </is>
      </c>
      <c r="D63" t="inlineStr">
        <is>
          <t>13:47:00</t>
        </is>
      </c>
      <c r="E63" t="n">
        <v>149.05</v>
      </c>
      <c r="F63" t="n">
        <v>139.36</v>
      </c>
      <c r="G63" t="n">
        <v>93707.98</v>
      </c>
      <c r="H63" t="n">
        <v>119555.19</v>
      </c>
      <c r="I63" t="n">
        <v>83688.63</v>
      </c>
      <c r="J63" t="inlineStr">
        <is>
          <t>EXECUTED</t>
        </is>
      </c>
      <c r="K63" t="n">
        <v>1.68</v>
      </c>
      <c r="L63" t="n">
        <v>-7.48</v>
      </c>
      <c r="M63">
        <f>HYPERLINK("../../data/FEB24_DYNAMIC/FEB19/OTM/NIFTY26FEB25600CE_strategy.html", "View")</f>
        <v/>
      </c>
      <c r="N63" t="inlineStr"/>
      <c r="O63" t="inlineStr">
        <is>
          <t>NEUTRAL</t>
        </is>
      </c>
      <c r="P63" t="inlineStr">
        <is>
          <t>INCLUDED</t>
        </is>
      </c>
      <c r="Q63" t="n">
        <v>-6.5</v>
      </c>
      <c r="R63" t="inlineStr">
        <is>
          <t>Fixed Stop Loss</t>
        </is>
      </c>
      <c r="S63" t="n">
        <v>0.365</v>
      </c>
      <c r="T63" t="inlineStr"/>
      <c r="U63" t="inlineStr">
        <is>
          <t>2026-02-19</t>
        </is>
      </c>
      <c r="V63" t="inlineStr">
        <is>
          <t>Below S1</t>
        </is>
      </c>
      <c r="W63" t="n">
        <v>25603.54</v>
      </c>
      <c r="X63" t="n">
        <v>25883.22</v>
      </c>
      <c r="Y63" t="n">
        <v>25700.32</v>
      </c>
      <c r="Z63" t="n">
        <v>25947.08</v>
      </c>
      <c r="AA63" t="n">
        <v>25581.28</v>
      </c>
      <c r="AB63" t="n">
        <v>26066.12</v>
      </c>
      <c r="AC63" t="n">
        <v>25517.42</v>
      </c>
      <c r="AD63" t="inlineStr"/>
    </row>
    <row r="64">
      <c r="A64">
        <f>HYPERLINK("../../data/FEB24_DYNAMIC/FEB19/OTM/NIFTY26FEB25600PE_strategy.csv", "NIFTY26FEB25600PE")</f>
        <v/>
      </c>
      <c r="B64" t="inlineStr">
        <is>
          <t>PE</t>
        </is>
      </c>
      <c r="C64" t="inlineStr">
        <is>
          <t>13:17:01</t>
        </is>
      </c>
      <c r="D64" t="inlineStr">
        <is>
          <t>13:21:00</t>
        </is>
      </c>
      <c r="E64" t="n">
        <v>139.85</v>
      </c>
      <c r="F64" t="n">
        <v>130.76</v>
      </c>
      <c r="G64" t="n">
        <v>100222.44</v>
      </c>
      <c r="H64" t="n">
        <v>119555.19</v>
      </c>
      <c r="I64" t="n">
        <v>83688.63</v>
      </c>
      <c r="J64" t="inlineStr">
        <is>
          <t>EXECUTED</t>
        </is>
      </c>
      <c r="K64" t="n">
        <v>0</v>
      </c>
      <c r="L64" t="n">
        <v>-12.26</v>
      </c>
      <c r="M64">
        <f>HYPERLINK("../../data/FEB24_DYNAMIC/FEB19/OTM/NIFTY26FEB25600PE_strategy.html", "View")</f>
        <v/>
      </c>
      <c r="N64" t="inlineStr"/>
      <c r="O64" t="inlineStr">
        <is>
          <t>NEUTRAL</t>
        </is>
      </c>
      <c r="P64" t="inlineStr">
        <is>
          <t>INCLUDED</t>
        </is>
      </c>
      <c r="Q64" t="n">
        <v>-6.5</v>
      </c>
      <c r="R64" t="inlineStr">
        <is>
          <t>Fixed SL Exit</t>
        </is>
      </c>
      <c r="S64" t="n">
        <v>0.4715</v>
      </c>
      <c r="T64" t="inlineStr"/>
      <c r="U64" t="inlineStr">
        <is>
          <t>2026-02-19</t>
        </is>
      </c>
      <c r="V64" t="inlineStr">
        <is>
          <t>Below S1</t>
        </is>
      </c>
      <c r="W64" t="n">
        <v>25603.58</v>
      </c>
      <c r="X64" t="n">
        <v>25883.22</v>
      </c>
      <c r="Y64" t="n">
        <v>25700.32</v>
      </c>
      <c r="Z64" t="n">
        <v>25947.08</v>
      </c>
      <c r="AA64" t="n">
        <v>25581.28</v>
      </c>
      <c r="AB64" t="n">
        <v>26066.12</v>
      </c>
      <c r="AC64" t="n">
        <v>25517.42</v>
      </c>
      <c r="AD64" t="inlineStr"/>
    </row>
    <row r="65">
      <c r="A65">
        <f>HYPERLINK("../../data/FEB24_DYNAMIC/FEB19/OTM/NIFTY26FEB25650CE_strategy.csv", "NIFTY26FEB25650CE")</f>
        <v/>
      </c>
      <c r="B65" t="inlineStr">
        <is>
          <t>CE</t>
        </is>
      </c>
      <c r="C65" t="inlineStr">
        <is>
          <t>12:21:01</t>
        </is>
      </c>
      <c r="D65" t="inlineStr">
        <is>
          <t>12:37:00</t>
        </is>
      </c>
      <c r="E65" t="n">
        <v>134.15</v>
      </c>
      <c r="F65" t="n">
        <v>128.64</v>
      </c>
      <c r="G65" t="n">
        <v>107189.77</v>
      </c>
      <c r="H65" t="n">
        <v>119555.19</v>
      </c>
      <c r="I65" t="n">
        <v>83688.63</v>
      </c>
      <c r="J65" t="inlineStr">
        <is>
          <t>EXECUTED</t>
        </is>
      </c>
      <c r="K65" t="n">
        <v>3.91</v>
      </c>
      <c r="L65" t="n">
        <v>-4.99</v>
      </c>
      <c r="M65">
        <f>HYPERLINK("../../data/FEB24_DYNAMIC/FEB19/OTM/NIFTY26FEB25650CE_strategy.html", "View")</f>
        <v/>
      </c>
      <c r="N65" t="inlineStr"/>
      <c r="O65" t="inlineStr">
        <is>
          <t>BULLISH</t>
        </is>
      </c>
      <c r="P65" t="inlineStr">
        <is>
          <t>INCLUDED (HYBRID_NEUTRAL_ZONE)</t>
        </is>
      </c>
      <c r="Q65" t="n">
        <v>-4.11</v>
      </c>
      <c r="R65" t="inlineStr">
        <is>
          <t>SuperTrend Stop Loss Exit</t>
        </is>
      </c>
      <c r="S65" t="n">
        <v>0.3011</v>
      </c>
      <c r="T65" t="inlineStr"/>
      <c r="U65" t="inlineStr">
        <is>
          <t>2026-02-19</t>
        </is>
      </c>
      <c r="V65" t="inlineStr">
        <is>
          <t>Below S1</t>
        </is>
      </c>
      <c r="W65" t="n">
        <v>25624.89</v>
      </c>
      <c r="X65" t="n">
        <v>25883.22</v>
      </c>
      <c r="Y65" t="n">
        <v>25700.32</v>
      </c>
      <c r="Z65" t="n">
        <v>25947.08</v>
      </c>
      <c r="AA65" t="n">
        <v>25581.28</v>
      </c>
      <c r="AB65" t="n">
        <v>26066.12</v>
      </c>
      <c r="AC65" t="n">
        <v>25517.42</v>
      </c>
      <c r="AD65" t="inlineStr"/>
    </row>
    <row r="66">
      <c r="A66">
        <f>HYPERLINK("../../data/FEB24_DYNAMIC/FEB19/OTM/NIFTY26FEB25700CE_strategy.csv", "NIFTY26FEB25700CE")</f>
        <v/>
      </c>
      <c r="B66" t="inlineStr">
        <is>
          <t>CE</t>
        </is>
      </c>
      <c r="C66" t="inlineStr">
        <is>
          <t>11:56:01</t>
        </is>
      </c>
      <c r="D66" t="inlineStr">
        <is>
          <t>12:01:00</t>
        </is>
      </c>
      <c r="E66" t="n">
        <v>125</v>
      </c>
      <c r="F66" t="n">
        <v>116.88</v>
      </c>
      <c r="G66" t="n">
        <v>111784.1</v>
      </c>
      <c r="H66" t="n">
        <v>119555.19</v>
      </c>
      <c r="I66" t="n">
        <v>83688.63</v>
      </c>
      <c r="J66" t="inlineStr">
        <is>
          <t>EXECUTED</t>
        </is>
      </c>
      <c r="K66" t="n">
        <v>1</v>
      </c>
      <c r="L66" t="n">
        <v>-3.52</v>
      </c>
      <c r="M66">
        <f>HYPERLINK("../../data/FEB24_DYNAMIC/FEB19/OTM/NIFTY26FEB25700CE_strategy.html", "View")</f>
        <v/>
      </c>
      <c r="N66" t="inlineStr"/>
      <c r="O66" t="inlineStr">
        <is>
          <t>BEARISH</t>
        </is>
      </c>
      <c r="P66" t="inlineStr">
        <is>
          <t>INCLUDED (HYBRID_NEUTRAL_ZONE)</t>
        </is>
      </c>
      <c r="Q66" t="n">
        <v>-6.5</v>
      </c>
      <c r="R66" t="inlineStr">
        <is>
          <t>Fixed Stop Loss</t>
        </is>
      </c>
      <c r="S66" t="n">
        <v>0.2025</v>
      </c>
      <c r="T66" t="inlineStr"/>
      <c r="U66" t="inlineStr">
        <is>
          <t>2026-02-19</t>
        </is>
      </c>
      <c r="V66" t="inlineStr">
        <is>
          <t>Below S1</t>
        </is>
      </c>
      <c r="W66" t="n">
        <v>25657.7</v>
      </c>
      <c r="X66" t="n">
        <v>25883.22</v>
      </c>
      <c r="Y66" t="n">
        <v>25700.32</v>
      </c>
      <c r="Z66" t="n">
        <v>25947.08</v>
      </c>
      <c r="AA66" t="n">
        <v>25581.28</v>
      </c>
      <c r="AB66" t="n">
        <v>26066.12</v>
      </c>
      <c r="AC66" t="n">
        <v>25517.42</v>
      </c>
      <c r="AD6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option_type</t>
        </is>
      </c>
      <c r="C1" s="1" t="inlineStr">
        <is>
          <t>entry_time</t>
        </is>
      </c>
      <c r="D1" s="1" t="inlineStr">
        <is>
          <t>exit_time</t>
        </is>
      </c>
      <c r="E1" s="1" t="inlineStr">
        <is>
          <t>entry_price</t>
        </is>
      </c>
      <c r="F1" s="1" t="inlineStr">
        <is>
          <t>exit_price</t>
        </is>
      </c>
      <c r="G1" s="1" t="inlineStr">
        <is>
          <t>running_capital</t>
        </is>
      </c>
      <c r="H1" s="1" t="inlineStr">
        <is>
          <t>high_water_mark</t>
        </is>
      </c>
      <c r="I1" s="1" t="inlineStr">
        <is>
          <t>drawdown_limit</t>
        </is>
      </c>
      <c r="J1" s="1" t="inlineStr">
        <is>
          <t>trade_status</t>
        </is>
      </c>
      <c r="K1" s="1" t="inlineStr">
        <is>
          <t>high</t>
        </is>
      </c>
      <c r="L1" s="1" t="inlineStr">
        <is>
          <t>swing_low</t>
        </is>
      </c>
      <c r="M1" s="1" t="inlineStr">
        <is>
          <t>symbol_html</t>
        </is>
      </c>
      <c r="N1" s="1" t="inlineStr">
        <is>
          <t>trade_status_reason</t>
        </is>
      </c>
      <c r="O1" s="1" t="inlineStr">
        <is>
          <t>market_sentiment</t>
        </is>
      </c>
      <c r="P1" s="1" t="inlineStr">
        <is>
          <t>filter_status</t>
        </is>
      </c>
      <c r="Q1" s="1" t="inlineStr">
        <is>
          <t>sentiment_pnl</t>
        </is>
      </c>
      <c r="R1" s="1" t="inlineStr">
        <is>
          <t>exit_reason</t>
        </is>
      </c>
      <c r="S1" s="1" t="inlineStr">
        <is>
          <t>demarker</t>
        </is>
      </c>
      <c r="T1" s="1" t="inlineStr">
        <is>
          <t>demarker_at_7pct</t>
        </is>
      </c>
      <c r="U1" s="1" t="inlineStr">
        <is>
          <t>date</t>
        </is>
      </c>
      <c r="V1" s="1" t="inlineStr">
        <is>
          <t>zone</t>
        </is>
      </c>
      <c r="W1" s="1" t="inlineStr">
        <is>
          <t>nifty_at_entry</t>
        </is>
      </c>
      <c r="X1" s="1" t="inlineStr">
        <is>
          <t>R1</t>
        </is>
      </c>
      <c r="Y1" s="1" t="inlineStr">
        <is>
          <t>S1</t>
        </is>
      </c>
      <c r="Z1" s="1" t="inlineStr">
        <is>
          <t>R2</t>
        </is>
      </c>
      <c r="AA1" s="1" t="inlineStr">
        <is>
          <t>S2</t>
        </is>
      </c>
      <c r="AB1" s="1" t="inlineStr">
        <is>
          <t>R3</t>
        </is>
      </c>
      <c r="AC1" s="1" t="inlineStr">
        <is>
          <t>S3</t>
        </is>
      </c>
      <c r="AD1" s="1" t="inlineStr">
        <is>
          <t>realized_pnl_pct</t>
        </is>
      </c>
    </row>
    <row r="2">
      <c r="A2">
        <f>HYPERLINK("../../data/DEC02_DYNAMIC/NOV26/OTM/NIFTY25D0226100CE_strategy.csv", "NIFTY25D0226100CE")</f>
        <v/>
      </c>
      <c r="B2" t="inlineStr">
        <is>
          <t>CE</t>
        </is>
      </c>
      <c r="C2" t="inlineStr">
        <is>
          <t>10:39:01</t>
        </is>
      </c>
      <c r="D2" t="inlineStr">
        <is>
          <t>10:53:00</t>
        </is>
      </c>
      <c r="E2" t="n">
        <v>161.3</v>
      </c>
      <c r="F2" t="n">
        <v>169.87</v>
      </c>
      <c r="G2" t="n">
        <v>105310</v>
      </c>
      <c r="H2" t="n">
        <v>105310</v>
      </c>
      <c r="I2" t="n">
        <v>73717</v>
      </c>
      <c r="J2" t="inlineStr">
        <is>
          <t>EXECUTED</t>
        </is>
      </c>
      <c r="K2" t="n">
        <v>16.83</v>
      </c>
      <c r="L2" t="n">
        <v>-4.84</v>
      </c>
      <c r="M2">
        <f>HYPERLINK("../../data/DEC02_DYNAMIC/NOV26/OTM/NIFTY25D0226100CE_strategy.html", "View")</f>
        <v/>
      </c>
      <c r="N2" t="inlineStr"/>
      <c r="O2" t="inlineStr">
        <is>
          <t>NEUTRAL</t>
        </is>
      </c>
      <c r="P2" t="inlineStr">
        <is>
          <t>INCLUDED</t>
        </is>
      </c>
      <c r="Q2" t="n">
        <v>5.31</v>
      </c>
      <c r="R2" t="inlineStr">
        <is>
          <t>SuperTrend Stop Loss Exit</t>
        </is>
      </c>
      <c r="S2" t="n">
        <v>0.6052999999999999</v>
      </c>
      <c r="T2" t="n">
        <v>0.8619</v>
      </c>
      <c r="U2" t="inlineStr">
        <is>
          <t>2025-11-26</t>
        </is>
      </c>
      <c r="V2" t="inlineStr">
        <is>
          <t>Above R1</t>
        </is>
      </c>
      <c r="W2" t="n">
        <v>26088.5</v>
      </c>
      <c r="X2" t="n">
        <v>25992.43</v>
      </c>
      <c r="Y2" t="n">
        <v>25817.33</v>
      </c>
      <c r="Z2" t="n">
        <v>26100.07</v>
      </c>
      <c r="AA2" t="n">
        <v>25749.87</v>
      </c>
      <c r="AB2" t="n">
        <v>26167.53</v>
      </c>
      <c r="AC2" t="n">
        <v>25642.23</v>
      </c>
      <c r="AD2" t="inlineStr"/>
    </row>
    <row r="3">
      <c r="A3">
        <f>HYPERLINK("../../data/DEC02_DYNAMIC/DEC01/OTM/NIFTY25D0226250PE_strategy.csv", "NIFTY25D0226250PE")</f>
        <v/>
      </c>
      <c r="B3" t="inlineStr">
        <is>
          <t>PE</t>
        </is>
      </c>
      <c r="C3" t="inlineStr">
        <is>
          <t>10:37:01</t>
        </is>
      </c>
      <c r="D3" t="inlineStr">
        <is>
          <t>11:14:00</t>
        </is>
      </c>
      <c r="E3" t="n">
        <v>51.9</v>
      </c>
      <c r="F3" t="n">
        <v>61.86</v>
      </c>
      <c r="G3" t="n">
        <v>100893.38</v>
      </c>
      <c r="H3" t="n">
        <v>100893.38</v>
      </c>
      <c r="I3" t="n">
        <v>70625.37</v>
      </c>
      <c r="J3" t="inlineStr">
        <is>
          <t>EXECUTED</t>
        </is>
      </c>
      <c r="K3" t="n">
        <v>44.51</v>
      </c>
      <c r="L3" t="n">
        <v>-10.98</v>
      </c>
      <c r="M3">
        <f>HYPERLINK("../../data/DEC02_DYNAMIC/DEC01/OTM/NIFTY25D0226250PE_strategy.html", "View")</f>
        <v/>
      </c>
      <c r="N3" t="inlineStr"/>
      <c r="O3" t="inlineStr">
        <is>
          <t>NEUTRAL</t>
        </is>
      </c>
      <c r="P3" t="inlineStr">
        <is>
          <t>INCLUDED</t>
        </is>
      </c>
      <c r="Q3" t="n">
        <v>19.19</v>
      </c>
      <c r="R3" t="inlineStr">
        <is>
          <t>SuperTrend Stop Loss Exit</t>
        </is>
      </c>
      <c r="S3" t="n">
        <v>0.4951</v>
      </c>
      <c r="T3" t="n">
        <v>0.6091</v>
      </c>
      <c r="U3" t="inlineStr">
        <is>
          <t>2025-12-01</t>
        </is>
      </c>
      <c r="V3" t="inlineStr">
        <is>
          <t>Above R1</t>
        </is>
      </c>
      <c r="W3" t="n">
        <v>26276.2</v>
      </c>
      <c r="X3" t="n">
        <v>26265</v>
      </c>
      <c r="Y3" t="n">
        <v>26156.65</v>
      </c>
      <c r="Z3" t="n">
        <v>26327.05</v>
      </c>
      <c r="AA3" t="n">
        <v>26110.35</v>
      </c>
      <c r="AB3" t="n">
        <v>26373.35</v>
      </c>
      <c r="AC3" t="n">
        <v>26048.3</v>
      </c>
      <c r="AD3" t="inlineStr"/>
    </row>
    <row r="4">
      <c r="A4">
        <f>HYPERLINK("../../data/DEC02_DYNAMIC/DEC01/OTM/NIFTY25D0226300CE_strategy.csv", "NIFTY25D0226300CE")</f>
        <v/>
      </c>
      <c r="B4" t="inlineStr">
        <is>
          <t>CE</t>
        </is>
      </c>
      <c r="C4" t="inlineStr">
        <is>
          <t>10:06:01</t>
        </is>
      </c>
      <c r="D4" t="inlineStr">
        <is>
          <t>10:16:00</t>
        </is>
      </c>
      <c r="E4" t="n">
        <v>76</v>
      </c>
      <c r="F4" t="n">
        <v>69.92</v>
      </c>
      <c r="G4" t="n">
        <v>84649.2</v>
      </c>
      <c r="H4" t="n">
        <v>100000</v>
      </c>
      <c r="I4" t="n">
        <v>70000</v>
      </c>
      <c r="J4" t="inlineStr">
        <is>
          <t>EXECUTED</t>
        </is>
      </c>
      <c r="K4" t="n">
        <v>1.51</v>
      </c>
      <c r="L4" t="n">
        <v>-8.619999999999999</v>
      </c>
      <c r="M4">
        <f>HYPERLINK("../../data/DEC02_DYNAMIC/DEC01/OTM/NIFTY25D0226300CE_strategy.html", "View")</f>
        <v/>
      </c>
      <c r="N4" t="inlineStr"/>
      <c r="O4" t="inlineStr">
        <is>
          <t>BULLISH</t>
        </is>
      </c>
      <c r="P4" t="inlineStr">
        <is>
          <t>INCLUDED (HYBRID_NEUTRAL_ZONE)</t>
        </is>
      </c>
      <c r="Q4" t="n">
        <v>-8</v>
      </c>
      <c r="R4" t="inlineStr">
        <is>
          <t>Fixed Stop Loss</t>
        </is>
      </c>
      <c r="S4" t="n">
        <v>0.4636</v>
      </c>
      <c r="T4" t="inlineStr"/>
      <c r="U4" t="inlineStr">
        <is>
          <t>2025-12-01</t>
        </is>
      </c>
      <c r="V4" t="inlineStr">
        <is>
          <t>Above R1</t>
        </is>
      </c>
      <c r="W4" t="n">
        <v>26278.1</v>
      </c>
      <c r="X4" t="n">
        <v>26265</v>
      </c>
      <c r="Y4" t="n">
        <v>26156.65</v>
      </c>
      <c r="Z4" t="n">
        <v>26327.05</v>
      </c>
      <c r="AA4" t="n">
        <v>26110.35</v>
      </c>
      <c r="AB4" t="n">
        <v>26373.35</v>
      </c>
      <c r="AC4" t="n">
        <v>26048.3</v>
      </c>
      <c r="AD4" t="inlineStr"/>
    </row>
    <row r="5">
      <c r="A5">
        <f>HYPERLINK("../../data/DEC02_DYNAMIC/DEC01/OTM/NIFTY25D0226250PE_strategy.csv", "NIFTY25D0226250PE")</f>
        <v/>
      </c>
      <c r="B5" t="inlineStr">
        <is>
          <t>PE</t>
        </is>
      </c>
      <c r="C5" t="inlineStr">
        <is>
          <t>09:44:01</t>
        </is>
      </c>
      <c r="D5" t="inlineStr">
        <is>
          <t>09:47:00</t>
        </is>
      </c>
      <c r="E5" t="n">
        <v>53.55</v>
      </c>
      <c r="F5" t="n">
        <v>49.27</v>
      </c>
      <c r="G5" t="n">
        <v>92010</v>
      </c>
      <c r="H5" t="n">
        <v>100000</v>
      </c>
      <c r="I5" t="n">
        <v>70000</v>
      </c>
      <c r="J5" t="inlineStr">
        <is>
          <t>EXECUTED</t>
        </is>
      </c>
      <c r="K5" t="n">
        <v>1.77</v>
      </c>
      <c r="L5" t="n">
        <v>-17.18</v>
      </c>
      <c r="M5">
        <f>HYPERLINK("../../data/DEC02_DYNAMIC/DEC01/OTM/NIFTY25D0226250PE_strategy.html", "View")</f>
        <v/>
      </c>
      <c r="N5" t="inlineStr"/>
      <c r="O5" t="inlineStr">
        <is>
          <t>BEARISH</t>
        </is>
      </c>
      <c r="P5" t="inlineStr">
        <is>
          <t>INCLUDED (HYBRID_NEUTRAL_ZONE)</t>
        </is>
      </c>
      <c r="Q5" t="n">
        <v>-7.99</v>
      </c>
      <c r="R5" t="inlineStr">
        <is>
          <t>Fixed Stop Loss</t>
        </is>
      </c>
      <c r="S5" t="n">
        <v>0.6385</v>
      </c>
      <c r="T5" t="inlineStr"/>
      <c r="U5" t="inlineStr">
        <is>
          <t>2025-12-01</t>
        </is>
      </c>
      <c r="V5" t="inlineStr">
        <is>
          <t>Above R1</t>
        </is>
      </c>
      <c r="W5" t="n">
        <v>26287.25</v>
      </c>
      <c r="X5" t="n">
        <v>26265</v>
      </c>
      <c r="Y5" t="n">
        <v>26156.65</v>
      </c>
      <c r="Z5" t="n">
        <v>26327.05</v>
      </c>
      <c r="AA5" t="n">
        <v>26110.35</v>
      </c>
      <c r="AB5" t="n">
        <v>26373.35</v>
      </c>
      <c r="AC5" t="n">
        <v>26048.3</v>
      </c>
      <c r="AD5" t="inlineStr"/>
    </row>
    <row r="6">
      <c r="A6">
        <f>HYPERLINK("../../data/DEC09_DYNAMIC/DEC04/OTM/NIFTY25D0926050PE_strategy.csv", "NIFTY25D0926050PE")</f>
        <v/>
      </c>
      <c r="B6" t="inlineStr">
        <is>
          <t>PE</t>
        </is>
      </c>
      <c r="C6" t="inlineStr">
        <is>
          <t>11:09:01</t>
        </is>
      </c>
      <c r="D6" t="inlineStr">
        <is>
          <t>12:05:00</t>
        </is>
      </c>
      <c r="E6" t="n">
        <v>84.95</v>
      </c>
      <c r="F6" t="n">
        <v>99.87</v>
      </c>
      <c r="G6" t="n">
        <v>166468.16</v>
      </c>
      <c r="H6" t="n">
        <v>167300</v>
      </c>
      <c r="I6" t="n">
        <v>117110</v>
      </c>
      <c r="J6" t="inlineStr">
        <is>
          <t>EXECUTED</t>
        </is>
      </c>
      <c r="K6" t="n">
        <v>37.32</v>
      </c>
      <c r="L6" t="n">
        <v>-6.06</v>
      </c>
      <c r="M6">
        <f>HYPERLINK("../../data/DEC09_DYNAMIC/DEC04/OTM/NIFTY25D0926050PE_strategy.html", "View")</f>
        <v/>
      </c>
      <c r="N6" t="inlineStr"/>
      <c r="O6" t="inlineStr">
        <is>
          <t>NEUTRAL</t>
        </is>
      </c>
      <c r="P6" t="inlineStr">
        <is>
          <t>INCLUDED</t>
        </is>
      </c>
      <c r="Q6" t="n">
        <v>17.56</v>
      </c>
      <c r="R6" t="inlineStr">
        <is>
          <t>SuperTrend Stop Loss Exit</t>
        </is>
      </c>
      <c r="S6" t="n">
        <v>0.5107</v>
      </c>
      <c r="T6" t="n">
        <v>0.7114</v>
      </c>
      <c r="U6" t="inlineStr">
        <is>
          <t>2025-12-04</t>
        </is>
      </c>
      <c r="V6" t="inlineStr">
        <is>
          <t>Above R1</t>
        </is>
      </c>
      <c r="W6" t="n">
        <v>26074.7</v>
      </c>
      <c r="X6" t="n">
        <v>26071.3</v>
      </c>
      <c r="Y6" t="n">
        <v>25895.85</v>
      </c>
      <c r="Z6" t="n">
        <v>26156.6</v>
      </c>
      <c r="AA6" t="n">
        <v>25805.7</v>
      </c>
      <c r="AB6" t="n">
        <v>26246.75</v>
      </c>
      <c r="AC6" t="n">
        <v>25720.4</v>
      </c>
      <c r="AD6" t="inlineStr"/>
    </row>
    <row r="7">
      <c r="A7">
        <f>HYPERLINK("../../data/DEC09_DYNAMIC/DEC05/OTM/NIFTY25D0926150CE_strategy.csv", "NIFTY25D0926150CE")</f>
        <v/>
      </c>
      <c r="B7" t="inlineStr">
        <is>
          <t>CE</t>
        </is>
      </c>
      <c r="C7" t="inlineStr">
        <is>
          <t>14:52:01</t>
        </is>
      </c>
      <c r="D7" t="inlineStr">
        <is>
          <t>15:14:00</t>
        </is>
      </c>
      <c r="E7" t="n">
        <v>95.15000000000001</v>
      </c>
      <c r="F7" t="n">
        <v>111</v>
      </c>
      <c r="G7" t="n">
        <v>105940.89</v>
      </c>
      <c r="H7" t="n">
        <v>107280.01</v>
      </c>
      <c r="I7" t="n">
        <v>75096.00999999999</v>
      </c>
      <c r="J7" t="inlineStr">
        <is>
          <t>EXECUTED</t>
        </is>
      </c>
      <c r="K7" t="n">
        <v>24.86</v>
      </c>
      <c r="L7" t="n">
        <v>-15.03</v>
      </c>
      <c r="M7">
        <f>HYPERLINK("../../data/DEC09_DYNAMIC/DEC05/OTM/NIFTY25D0926150CE_strategy.html", "View")</f>
        <v/>
      </c>
      <c r="N7" t="inlineStr"/>
      <c r="O7" t="inlineStr">
        <is>
          <t>NEUTRAL</t>
        </is>
      </c>
      <c r="P7" t="inlineStr">
        <is>
          <t>INCLUDED</t>
        </is>
      </c>
      <c r="Q7" t="n">
        <v>16.66</v>
      </c>
      <c r="R7" t="inlineStr">
        <is>
          <t>EOD Exit</t>
        </is>
      </c>
      <c r="S7" t="n">
        <v>0.4767</v>
      </c>
      <c r="T7" t="n">
        <v>0.6311</v>
      </c>
      <c r="U7" t="inlineStr">
        <is>
          <t>2025-12-05</t>
        </is>
      </c>
      <c r="V7" t="inlineStr">
        <is>
          <t>Above R1</t>
        </is>
      </c>
      <c r="W7" t="n">
        <v>26151.45</v>
      </c>
      <c r="X7" t="n">
        <v>26108.35</v>
      </c>
      <c r="Y7" t="n">
        <v>25949.05</v>
      </c>
      <c r="Z7" t="n">
        <v>26182.95</v>
      </c>
      <c r="AA7" t="n">
        <v>25864.35</v>
      </c>
      <c r="AB7" t="n">
        <v>26267.65</v>
      </c>
      <c r="AC7" t="n">
        <v>25789.75</v>
      </c>
      <c r="AD7" t="inlineStr"/>
    </row>
    <row r="8">
      <c r="A8">
        <f>HYPERLINK("../../data/DEC09_DYNAMIC/DEC05/OTM/NIFTY25D0926200CE_strategy.csv", "NIFTY25D0926200CE")</f>
        <v/>
      </c>
      <c r="B8" t="inlineStr">
        <is>
          <t>CE</t>
        </is>
      </c>
      <c r="C8" t="inlineStr">
        <is>
          <t>14:43:01</t>
        </is>
      </c>
      <c r="D8" t="inlineStr">
        <is>
          <t>14:45:00</t>
        </is>
      </c>
      <c r="E8" t="n">
        <v>72.8</v>
      </c>
      <c r="F8" t="n">
        <v>66.98</v>
      </c>
      <c r="G8" t="n">
        <v>90811.67</v>
      </c>
      <c r="H8" t="n">
        <v>107280.01</v>
      </c>
      <c r="I8" t="n">
        <v>75096.00999999999</v>
      </c>
      <c r="J8" t="inlineStr">
        <is>
          <t>EXECUTED</t>
        </is>
      </c>
      <c r="K8" t="n">
        <v>1.85</v>
      </c>
      <c r="L8" t="n">
        <v>-8.449999999999999</v>
      </c>
      <c r="M8">
        <f>HYPERLINK("../../data/DEC09_DYNAMIC/DEC05/OTM/NIFTY25D0926200CE_strategy.html", "View")</f>
        <v/>
      </c>
      <c r="N8" t="inlineStr"/>
      <c r="O8" t="inlineStr">
        <is>
          <t>BULLISH</t>
        </is>
      </c>
      <c r="P8" t="inlineStr">
        <is>
          <t>INCLUDED (HYBRID_NEUTRAL_ZONE)</t>
        </is>
      </c>
      <c r="Q8" t="n">
        <v>-7.99</v>
      </c>
      <c r="R8" t="inlineStr">
        <is>
          <t>Fixed Stop Loss</t>
        </is>
      </c>
      <c r="S8" t="n">
        <v>0.2857</v>
      </c>
      <c r="T8" t="inlineStr"/>
      <c r="U8" t="inlineStr">
        <is>
          <t>2025-12-05</t>
        </is>
      </c>
      <c r="V8" t="inlineStr">
        <is>
          <t>Above R1</t>
        </is>
      </c>
      <c r="W8" t="n">
        <v>26153.3</v>
      </c>
      <c r="X8" t="n">
        <v>26108.35</v>
      </c>
      <c r="Y8" t="n">
        <v>25949.05</v>
      </c>
      <c r="Z8" t="n">
        <v>26182.95</v>
      </c>
      <c r="AA8" t="n">
        <v>25864.35</v>
      </c>
      <c r="AB8" t="n">
        <v>26267.65</v>
      </c>
      <c r="AC8" t="n">
        <v>25789.75</v>
      </c>
      <c r="AD8" t="inlineStr"/>
    </row>
    <row r="9">
      <c r="A9">
        <f>HYPERLINK("../../data/DEC09_DYNAMIC/DEC05/OTM/NIFTY25D0926200CE_strategy.csv", "NIFTY25D0926200CE")</f>
        <v/>
      </c>
      <c r="B9" t="inlineStr">
        <is>
          <t>CE</t>
        </is>
      </c>
      <c r="C9" t="inlineStr">
        <is>
          <t>14:12:01</t>
        </is>
      </c>
      <c r="D9" t="inlineStr">
        <is>
          <t>14:14:00</t>
        </is>
      </c>
      <c r="E9" t="n">
        <v>86</v>
      </c>
      <c r="F9" t="n">
        <v>79.12</v>
      </c>
      <c r="G9" t="n">
        <v>98697.61</v>
      </c>
      <c r="H9" t="n">
        <v>107280.01</v>
      </c>
      <c r="I9" t="n">
        <v>75096.00999999999</v>
      </c>
      <c r="J9" t="inlineStr">
        <is>
          <t>EXECUTED</t>
        </is>
      </c>
      <c r="K9" t="n">
        <v>0</v>
      </c>
      <c r="L9" t="n">
        <v>-14.88</v>
      </c>
      <c r="M9">
        <f>HYPERLINK("../../data/DEC09_DYNAMIC/DEC05/OTM/NIFTY25D0926200CE_strategy.html", "View")</f>
        <v/>
      </c>
      <c r="N9" t="inlineStr"/>
      <c r="O9" t="inlineStr">
        <is>
          <t>NEUTRAL</t>
        </is>
      </c>
      <c r="P9" t="inlineStr">
        <is>
          <t>INCLUDED</t>
        </is>
      </c>
      <c r="Q9" t="n">
        <v>-8</v>
      </c>
      <c r="R9" t="inlineStr">
        <is>
          <t>Fixed Stop Loss</t>
        </is>
      </c>
      <c r="S9" t="n">
        <v>0.6016</v>
      </c>
      <c r="T9" t="inlineStr"/>
      <c r="U9" t="inlineStr">
        <is>
          <t>2025-12-05</t>
        </is>
      </c>
      <c r="V9" t="inlineStr">
        <is>
          <t>Above R1</t>
        </is>
      </c>
      <c r="W9" t="n">
        <v>26174.2</v>
      </c>
      <c r="X9" t="n">
        <v>26108.35</v>
      </c>
      <c r="Y9" t="n">
        <v>25949.05</v>
      </c>
      <c r="Z9" t="n">
        <v>26182.95</v>
      </c>
      <c r="AA9" t="n">
        <v>25864.35</v>
      </c>
      <c r="AB9" t="n">
        <v>26267.65</v>
      </c>
      <c r="AC9" t="n">
        <v>25789.75</v>
      </c>
      <c r="AD9" t="inlineStr"/>
    </row>
    <row r="10">
      <c r="A10">
        <f>HYPERLINK("../../data/DEC09_DYNAMIC/DEC05/OTM/NIFTY25D0926150PE_strategy.csv", "NIFTY25D0926150PE")</f>
        <v/>
      </c>
      <c r="B10" t="inlineStr">
        <is>
          <t>PE</t>
        </is>
      </c>
      <c r="C10" t="inlineStr">
        <is>
          <t>13:49:01</t>
        </is>
      </c>
      <c r="D10" t="inlineStr">
        <is>
          <t>14:11:00</t>
        </is>
      </c>
      <c r="E10" t="n">
        <v>57.65</v>
      </c>
      <c r="F10" t="n">
        <v>57.92</v>
      </c>
      <c r="G10" t="n">
        <v>107280.01</v>
      </c>
      <c r="H10" t="n">
        <v>107280.01</v>
      </c>
      <c r="I10" t="n">
        <v>75096.00999999999</v>
      </c>
      <c r="J10" t="inlineStr">
        <is>
          <t>EXECUTED</t>
        </is>
      </c>
      <c r="K10" t="n">
        <v>18.04</v>
      </c>
      <c r="L10" t="n">
        <v>-9.369999999999999</v>
      </c>
      <c r="M10">
        <f>HYPERLINK("../../data/DEC09_DYNAMIC/DEC05/OTM/NIFTY25D0926150PE_strategy.html", "View")</f>
        <v/>
      </c>
      <c r="N10" t="inlineStr"/>
      <c r="O10" t="inlineStr">
        <is>
          <t>NEUTRAL</t>
        </is>
      </c>
      <c r="P10" t="inlineStr">
        <is>
          <t>INCLUDED</t>
        </is>
      </c>
      <c r="Q10" t="n">
        <v>0.47</v>
      </c>
      <c r="R10" t="inlineStr">
        <is>
          <t>SuperTrend Stop Loss Exit</t>
        </is>
      </c>
      <c r="S10" t="n">
        <v>0.641</v>
      </c>
      <c r="T10" t="n">
        <v>0.7647</v>
      </c>
      <c r="U10" t="inlineStr">
        <is>
          <t>2025-12-05</t>
        </is>
      </c>
      <c r="V10" t="inlineStr">
        <is>
          <t>Above R1</t>
        </is>
      </c>
      <c r="W10" t="n">
        <v>26180</v>
      </c>
      <c r="X10" t="n">
        <v>26108.35</v>
      </c>
      <c r="Y10" t="n">
        <v>25949.05</v>
      </c>
      <c r="Z10" t="n">
        <v>26182.95</v>
      </c>
      <c r="AA10" t="n">
        <v>25864.35</v>
      </c>
      <c r="AB10" t="n">
        <v>26267.65</v>
      </c>
      <c r="AC10" t="n">
        <v>25789.75</v>
      </c>
      <c r="AD10" t="inlineStr"/>
    </row>
    <row r="11">
      <c r="A11">
        <f>HYPERLINK("../../data/DEC09_DYNAMIC/DEC05/OTM/NIFTY25D0926100PE_strategy.csv", "NIFTY25D0926100PE")</f>
        <v/>
      </c>
      <c r="B11" t="inlineStr">
        <is>
          <t>PE</t>
        </is>
      </c>
      <c r="C11" t="inlineStr">
        <is>
          <t>12:15:01</t>
        </is>
      </c>
      <c r="D11" t="inlineStr">
        <is>
          <t>12:21:00</t>
        </is>
      </c>
      <c r="E11" t="n">
        <v>59.9</v>
      </c>
      <c r="F11" t="n">
        <v>55.11</v>
      </c>
      <c r="G11" t="n">
        <v>79312.3</v>
      </c>
      <c r="H11" t="n">
        <v>101842.69</v>
      </c>
      <c r="I11" t="n">
        <v>71289.88</v>
      </c>
      <c r="J11" t="inlineStr">
        <is>
          <t>EXECUTED</t>
        </is>
      </c>
      <c r="K11" t="n">
        <v>0</v>
      </c>
      <c r="L11" t="n">
        <v>-6.43</v>
      </c>
      <c r="M11">
        <f>HYPERLINK("../../data/DEC09_DYNAMIC/DEC05/OTM/NIFTY25D0926100PE_strategy.html", "View")</f>
        <v/>
      </c>
      <c r="N11" t="inlineStr"/>
      <c r="O11" t="inlineStr">
        <is>
          <t>BEARISH</t>
        </is>
      </c>
      <c r="P11" t="inlineStr">
        <is>
          <t>INCLUDED (HYBRID_NEUTRAL_ZONE)</t>
        </is>
      </c>
      <c r="Q11" t="n">
        <v>-8</v>
      </c>
      <c r="R11" t="inlineStr">
        <is>
          <t>Fixed Stop Loss</t>
        </is>
      </c>
      <c r="S11" t="n">
        <v>0.5372</v>
      </c>
      <c r="T11" t="inlineStr"/>
      <c r="U11" t="inlineStr">
        <is>
          <t>2025-12-05</t>
        </is>
      </c>
      <c r="V11" t="inlineStr">
        <is>
          <t>Above R1</t>
        </is>
      </c>
      <c r="W11" t="n">
        <v>26133.65</v>
      </c>
      <c r="X11" t="n">
        <v>26108.35</v>
      </c>
      <c r="Y11" t="n">
        <v>25949.05</v>
      </c>
      <c r="Z11" t="n">
        <v>26182.95</v>
      </c>
      <c r="AA11" t="n">
        <v>25864.35</v>
      </c>
      <c r="AB11" t="n">
        <v>26267.65</v>
      </c>
      <c r="AC11" t="n">
        <v>25789.75</v>
      </c>
      <c r="AD11" t="inlineStr"/>
    </row>
    <row r="12">
      <c r="A12">
        <f>HYPERLINK("../../data/DEC09_DYNAMIC/DEC05/OTM/NIFTY25D0926150CE_strategy.csv", "NIFTY25D0926150CE")</f>
        <v/>
      </c>
      <c r="B12" t="inlineStr">
        <is>
          <t>CE</t>
        </is>
      </c>
      <c r="C12" t="inlineStr">
        <is>
          <t>11:53:01</t>
        </is>
      </c>
      <c r="D12" t="inlineStr">
        <is>
          <t>13:04:00</t>
        </is>
      </c>
      <c r="E12" t="n">
        <v>94.15000000000001</v>
      </c>
      <c r="F12" t="n">
        <v>126.75</v>
      </c>
      <c r="G12" t="n">
        <v>106778.15</v>
      </c>
      <c r="H12" t="n">
        <v>106778.15</v>
      </c>
      <c r="I12" t="n">
        <v>74744.71000000001</v>
      </c>
      <c r="J12" t="inlineStr">
        <is>
          <t>EXECUTED</t>
        </is>
      </c>
      <c r="K12" t="n">
        <v>47.58</v>
      </c>
      <c r="L12" t="n">
        <v>-8.66</v>
      </c>
      <c r="M12">
        <f>HYPERLINK("../../data/DEC09_DYNAMIC/DEC05/OTM/NIFTY25D0926150CE_strategy.html", "View")</f>
        <v/>
      </c>
      <c r="N12" t="inlineStr"/>
      <c r="O12" t="inlineStr">
        <is>
          <t>NEUTRAL</t>
        </is>
      </c>
      <c r="P12" t="inlineStr">
        <is>
          <t>INCLUDED</t>
        </is>
      </c>
      <c r="Q12" t="n">
        <v>34.63</v>
      </c>
      <c r="R12" t="inlineStr">
        <is>
          <t>Dynamic Trailing MA (Fast/Slow MA)</t>
        </is>
      </c>
      <c r="S12" t="n">
        <v>0.4855</v>
      </c>
      <c r="T12" t="n">
        <v>0.6778</v>
      </c>
      <c r="U12" t="inlineStr">
        <is>
          <t>2025-12-05</t>
        </is>
      </c>
      <c r="V12" t="inlineStr">
        <is>
          <t>Above R1</t>
        </is>
      </c>
      <c r="W12" t="n">
        <v>26136.35</v>
      </c>
      <c r="X12" t="n">
        <v>26108.35</v>
      </c>
      <c r="Y12" t="n">
        <v>25949.05</v>
      </c>
      <c r="Z12" t="n">
        <v>26182.95</v>
      </c>
      <c r="AA12" t="n">
        <v>25864.35</v>
      </c>
      <c r="AB12" t="n">
        <v>26267.65</v>
      </c>
      <c r="AC12" t="n">
        <v>25789.75</v>
      </c>
      <c r="AD12" t="inlineStr"/>
    </row>
    <row r="13">
      <c r="A13">
        <f>HYPERLINK("../../data/DEC09_DYNAMIC/DEC05/OTM/NIFTY25D0926100PE_strategy.csv", "NIFTY25D0926100PE")</f>
        <v/>
      </c>
      <c r="B13" t="inlineStr">
        <is>
          <t>PE</t>
        </is>
      </c>
      <c r="C13" t="inlineStr">
        <is>
          <t>11:31:01</t>
        </is>
      </c>
      <c r="D13" t="inlineStr">
        <is>
          <t>11:57:00</t>
        </is>
      </c>
      <c r="E13" t="n">
        <v>61.4</v>
      </c>
      <c r="F13" t="n">
        <v>56.49</v>
      </c>
      <c r="G13" t="n">
        <v>86209.02</v>
      </c>
      <c r="H13" t="n">
        <v>101842.69</v>
      </c>
      <c r="I13" t="n">
        <v>71289.88</v>
      </c>
      <c r="J13" t="inlineStr">
        <is>
          <t>EXECUTED</t>
        </is>
      </c>
      <c r="K13" t="n">
        <v>4.32</v>
      </c>
      <c r="L13" t="n">
        <v>-9.279999999999999</v>
      </c>
      <c r="M13">
        <f>HYPERLINK("../../data/DEC09_DYNAMIC/DEC05/OTM/NIFTY25D0926100PE_strategy.html", "View")</f>
        <v/>
      </c>
      <c r="N13" t="inlineStr"/>
      <c r="O13" t="inlineStr">
        <is>
          <t>BEARISH</t>
        </is>
      </c>
      <c r="P13" t="inlineStr">
        <is>
          <t>INCLUDED (HYBRID_NEUTRAL_ZONE)</t>
        </is>
      </c>
      <c r="Q13" t="n">
        <v>-8</v>
      </c>
      <c r="R13" t="inlineStr">
        <is>
          <t>Fixed Stop Loss</t>
        </is>
      </c>
      <c r="S13" t="n">
        <v>0.3937</v>
      </c>
      <c r="T13" t="inlineStr"/>
      <c r="U13" t="inlineStr">
        <is>
          <t>2025-12-05</t>
        </is>
      </c>
      <c r="V13" t="inlineStr">
        <is>
          <t>Above R1</t>
        </is>
      </c>
      <c r="W13" t="n">
        <v>26136.8</v>
      </c>
      <c r="X13" t="n">
        <v>26108.35</v>
      </c>
      <c r="Y13" t="n">
        <v>25949.05</v>
      </c>
      <c r="Z13" t="n">
        <v>26182.95</v>
      </c>
      <c r="AA13" t="n">
        <v>25864.35</v>
      </c>
      <c r="AB13" t="n">
        <v>26267.65</v>
      </c>
      <c r="AC13" t="n">
        <v>25789.75</v>
      </c>
      <c r="AD13" t="inlineStr"/>
    </row>
    <row r="14">
      <c r="A14">
        <f>HYPERLINK("../../data/DEC09_DYNAMIC/DEC05/OTM/NIFTY25D0926100PE_strategy.csv", "NIFTY25D0926100PE")</f>
        <v/>
      </c>
      <c r="B14" t="inlineStr">
        <is>
          <t>PE</t>
        </is>
      </c>
      <c r="C14" t="inlineStr">
        <is>
          <t>11:17:01</t>
        </is>
      </c>
      <c r="D14" t="inlineStr">
        <is>
          <t>11:21:00</t>
        </is>
      </c>
      <c r="E14" t="n">
        <v>61.8</v>
      </c>
      <c r="F14" t="n">
        <v>56.86</v>
      </c>
      <c r="G14" t="n">
        <v>93705.46000000001</v>
      </c>
      <c r="H14" t="n">
        <v>101842.69</v>
      </c>
      <c r="I14" t="n">
        <v>71289.88</v>
      </c>
      <c r="J14" t="inlineStr">
        <is>
          <t>EXECUTED</t>
        </is>
      </c>
      <c r="K14" t="n">
        <v>3.88</v>
      </c>
      <c r="L14" t="n">
        <v>-4.77</v>
      </c>
      <c r="M14">
        <f>HYPERLINK("../../data/DEC09_DYNAMIC/DEC05/OTM/NIFTY25D0926100PE_strategy.html", "View")</f>
        <v/>
      </c>
      <c r="N14" t="inlineStr"/>
      <c r="O14" t="inlineStr">
        <is>
          <t>NEUTRAL</t>
        </is>
      </c>
      <c r="P14" t="inlineStr">
        <is>
          <t>INCLUDED</t>
        </is>
      </c>
      <c r="Q14" t="n">
        <v>-7.99</v>
      </c>
      <c r="R14" t="inlineStr">
        <is>
          <t>Fixed Stop Loss</t>
        </is>
      </c>
      <c r="S14" t="n">
        <v>0.5638</v>
      </c>
      <c r="T14" t="inlineStr"/>
      <c r="U14" t="inlineStr">
        <is>
          <t>2025-12-05</t>
        </is>
      </c>
      <c r="V14" t="inlineStr">
        <is>
          <t>Above R1</t>
        </is>
      </c>
      <c r="W14" t="n">
        <v>26135.25</v>
      </c>
      <c r="X14" t="n">
        <v>26108.35</v>
      </c>
      <c r="Y14" t="n">
        <v>25949.05</v>
      </c>
      <c r="Z14" t="n">
        <v>26182.95</v>
      </c>
      <c r="AA14" t="n">
        <v>25864.35</v>
      </c>
      <c r="AB14" t="n">
        <v>26267.65</v>
      </c>
      <c r="AC14" t="n">
        <v>25789.75</v>
      </c>
      <c r="AD14" t="inlineStr"/>
    </row>
    <row r="15">
      <c r="A15">
        <f>HYPERLINK("../../data/DEC16_DYNAMIC/DEC11/OTM/NIFTY25D1625900PE_strategy.csv", "NIFTY25D1625900PE")</f>
        <v/>
      </c>
      <c r="B15" t="inlineStr">
        <is>
          <t>PE</t>
        </is>
      </c>
      <c r="C15" t="inlineStr">
        <is>
          <t>14:40:01</t>
        </is>
      </c>
      <c r="D15" t="inlineStr">
        <is>
          <t>15:00:00</t>
        </is>
      </c>
      <c r="E15" t="n">
        <v>86.84999999999999</v>
      </c>
      <c r="F15" t="n">
        <v>91.95</v>
      </c>
      <c r="G15" t="n">
        <v>137814.3</v>
      </c>
      <c r="H15" t="n">
        <v>154219.78</v>
      </c>
      <c r="I15" t="n">
        <v>107953.85</v>
      </c>
      <c r="J15" t="inlineStr">
        <is>
          <t>EXECUTED</t>
        </is>
      </c>
      <c r="K15" t="n">
        <v>26.08</v>
      </c>
      <c r="L15" t="n">
        <v>-7.2</v>
      </c>
      <c r="M15">
        <f>HYPERLINK("../../data/DEC16_DYNAMIC/DEC11/OTM/NIFTY25D1625900PE_strategy.html", "View")</f>
        <v/>
      </c>
      <c r="N15" t="inlineStr"/>
      <c r="O15" t="inlineStr">
        <is>
          <t>NEUTRAL</t>
        </is>
      </c>
      <c r="P15" t="inlineStr">
        <is>
          <t>INCLUDED</t>
        </is>
      </c>
      <c r="Q15" t="n">
        <v>5.87</v>
      </c>
      <c r="R15" t="inlineStr">
        <is>
          <t>SuperTrend Stop Loss Exit</t>
        </is>
      </c>
      <c r="S15" t="n">
        <v>0.4476</v>
      </c>
      <c r="T15" t="n">
        <v>0.7571</v>
      </c>
      <c r="U15" t="inlineStr">
        <is>
          <t>2025-12-11</t>
        </is>
      </c>
      <c r="V15" t="inlineStr">
        <is>
          <t>Above R1</t>
        </is>
      </c>
      <c r="W15" t="n">
        <v>25897.8</v>
      </c>
      <c r="X15" t="n">
        <v>25892.25</v>
      </c>
      <c r="Y15" t="n">
        <v>25679.15</v>
      </c>
      <c r="Z15" t="n">
        <v>26026.5</v>
      </c>
      <c r="AA15" t="n">
        <v>25600.3</v>
      </c>
      <c r="AB15" t="n">
        <v>26105.35</v>
      </c>
      <c r="AC15" t="n">
        <v>25466.05</v>
      </c>
      <c r="AD15" t="inlineStr"/>
    </row>
    <row r="16">
      <c r="A16">
        <f>HYPERLINK("../../data/DEC16_DYNAMIC/DEC11/OTM/NIFTY25D1625900CE_strategy.csv", "NIFTY25D1625900CE")</f>
        <v/>
      </c>
      <c r="B16" t="inlineStr">
        <is>
          <t>CE</t>
        </is>
      </c>
      <c r="C16" t="inlineStr">
        <is>
          <t>14:20:01</t>
        </is>
      </c>
      <c r="D16" t="inlineStr">
        <is>
          <t>14:41:00</t>
        </is>
      </c>
      <c r="E16" t="n">
        <v>112.9</v>
      </c>
      <c r="F16" t="n">
        <v>115.42</v>
      </c>
      <c r="G16" t="n">
        <v>141492.54</v>
      </c>
      <c r="H16" t="n">
        <v>154219.78</v>
      </c>
      <c r="I16" t="n">
        <v>107953.85</v>
      </c>
      <c r="J16" t="inlineStr">
        <is>
          <t>EXECUTED</t>
        </is>
      </c>
      <c r="K16" t="n">
        <v>19.57</v>
      </c>
      <c r="L16" t="n">
        <v>-10.72</v>
      </c>
      <c r="M16">
        <f>HYPERLINK("../../data/DEC16_DYNAMIC/DEC11/OTM/NIFTY25D1625900CE_strategy.html", "View")</f>
        <v/>
      </c>
      <c r="N16" t="inlineStr"/>
      <c r="O16" t="inlineStr">
        <is>
          <t>BULLISH</t>
        </is>
      </c>
      <c r="P16" t="inlineStr">
        <is>
          <t>INCLUDED (HYBRID_v5_BULLISH_CE)</t>
        </is>
      </c>
      <c r="Q16" t="n">
        <v>2.23</v>
      </c>
      <c r="R16" t="inlineStr">
        <is>
          <t>SuperTrend Stop Loss Exit</t>
        </is>
      </c>
      <c r="S16" t="n">
        <v>0.7608</v>
      </c>
      <c r="T16" t="n">
        <v>0.7605</v>
      </c>
      <c r="U16" t="inlineStr">
        <is>
          <t>2025-12-11</t>
        </is>
      </c>
      <c r="V16" t="inlineStr">
        <is>
          <t>Above R1</t>
        </is>
      </c>
      <c r="W16" t="n">
        <v>25895.45</v>
      </c>
      <c r="X16" t="n">
        <v>25892.25</v>
      </c>
      <c r="Y16" t="n">
        <v>25679.15</v>
      </c>
      <c r="Z16" t="n">
        <v>26026.5</v>
      </c>
      <c r="AA16" t="n">
        <v>25600.3</v>
      </c>
      <c r="AB16" t="n">
        <v>26105.35</v>
      </c>
      <c r="AC16" t="n">
        <v>25466.05</v>
      </c>
      <c r="AD16" t="inlineStr"/>
    </row>
    <row r="17">
      <c r="A17">
        <f>HYPERLINK("../../data/DEC16_DYNAMIC/DEC11/OTM/NIFTY25D1625900PE_strategy.csv", "NIFTY25D1625900PE")</f>
        <v/>
      </c>
      <c r="B17" t="inlineStr">
        <is>
          <t>PE</t>
        </is>
      </c>
      <c r="C17" t="inlineStr">
        <is>
          <t>12:35:01</t>
        </is>
      </c>
      <c r="D17" t="inlineStr">
        <is>
          <t>13:23:00</t>
        </is>
      </c>
      <c r="E17" t="n">
        <v>97</v>
      </c>
      <c r="F17" t="n">
        <v>104.6</v>
      </c>
      <c r="G17" t="n">
        <v>154219.78</v>
      </c>
      <c r="H17" t="n">
        <v>154219.78</v>
      </c>
      <c r="I17" t="n">
        <v>107953.85</v>
      </c>
      <c r="J17" t="inlineStr">
        <is>
          <t>EXECUTED</t>
        </is>
      </c>
      <c r="K17" t="n">
        <v>23.04</v>
      </c>
      <c r="L17" t="n">
        <v>-7.63</v>
      </c>
      <c r="M17">
        <f>HYPERLINK("../../data/DEC16_DYNAMIC/DEC11/OTM/NIFTY25D1625900PE_strategy.html", "View")</f>
        <v/>
      </c>
      <c r="N17" t="inlineStr"/>
      <c r="O17" t="inlineStr">
        <is>
          <t>NEUTRAL</t>
        </is>
      </c>
      <c r="P17" t="inlineStr">
        <is>
          <t>INCLUDED</t>
        </is>
      </c>
      <c r="Q17" t="n">
        <v>7.84</v>
      </c>
      <c r="R17" t="inlineStr">
        <is>
          <t>Dynamic Trailing MA (Fast/Slow MA)</t>
        </is>
      </c>
      <c r="S17" t="n">
        <v>0.4022</v>
      </c>
      <c r="T17" t="n">
        <v>0.6958</v>
      </c>
      <c r="U17" t="inlineStr">
        <is>
          <t>2025-12-11</t>
        </is>
      </c>
      <c r="V17" t="inlineStr">
        <is>
          <t>Above R1</t>
        </is>
      </c>
      <c r="W17" t="n">
        <v>25895.35</v>
      </c>
      <c r="X17" t="n">
        <v>25892.25</v>
      </c>
      <c r="Y17" t="n">
        <v>25679.15</v>
      </c>
      <c r="Z17" t="n">
        <v>26026.5</v>
      </c>
      <c r="AA17" t="n">
        <v>25600.3</v>
      </c>
      <c r="AB17" t="n">
        <v>26105.35</v>
      </c>
      <c r="AC17" t="n">
        <v>25466.05</v>
      </c>
      <c r="AD17" t="inlineStr"/>
    </row>
    <row r="18">
      <c r="A18">
        <f>HYPERLINK("../../data/DEC16_DYNAMIC/DEC12/OTM/NIFTY25D1626050PE_strategy.csv", "NIFTY25D1626050PE")</f>
        <v/>
      </c>
      <c r="B18" t="inlineStr">
        <is>
          <t>PE</t>
        </is>
      </c>
      <c r="C18" t="inlineStr">
        <is>
          <t>15:16:01</t>
        </is>
      </c>
      <c r="D18" t="inlineStr">
        <is>
          <t>15:17:00</t>
        </is>
      </c>
      <c r="E18" t="n">
        <v>78.45</v>
      </c>
      <c r="F18" t="n">
        <v>75.5</v>
      </c>
      <c r="G18" t="n">
        <v>94950.38</v>
      </c>
      <c r="H18" t="n">
        <v>106962.85</v>
      </c>
      <c r="I18" t="n">
        <v>74874</v>
      </c>
      <c r="J18" t="inlineStr">
        <is>
          <t>EXECUTED</t>
        </is>
      </c>
      <c r="K18" t="n">
        <v>0</v>
      </c>
      <c r="L18" t="n">
        <v>-11.09</v>
      </c>
      <c r="M18">
        <f>HYPERLINK("../../data/DEC16_DYNAMIC/DEC12/OTM/NIFTY25D1626050PE_strategy.html", "View")</f>
        <v/>
      </c>
      <c r="N18" t="inlineStr"/>
      <c r="O18" t="inlineStr">
        <is>
          <t>BULLISH</t>
        </is>
      </c>
      <c r="P18" t="inlineStr">
        <is>
          <t>INCLUDED (HYBRID_NEUTRAL_ZONE)</t>
        </is>
      </c>
      <c r="Q18" t="n">
        <v>-3.76</v>
      </c>
      <c r="R18" t="inlineStr">
        <is>
          <t>EOD Exit</t>
        </is>
      </c>
      <c r="S18" t="n">
        <v>0.5714</v>
      </c>
      <c r="T18" t="inlineStr"/>
      <c r="U18" t="inlineStr">
        <is>
          <t>2025-12-12</t>
        </is>
      </c>
      <c r="V18" t="inlineStr">
        <is>
          <t>Above R1</t>
        </is>
      </c>
      <c r="W18" t="n">
        <v>26047.45</v>
      </c>
      <c r="X18" t="n">
        <v>25983.15</v>
      </c>
      <c r="Y18" t="n">
        <v>25753.6</v>
      </c>
      <c r="Z18" t="n">
        <v>26067.75</v>
      </c>
      <c r="AA18" t="n">
        <v>25608.65</v>
      </c>
      <c r="AB18" t="n">
        <v>26212.7</v>
      </c>
      <c r="AC18" t="n">
        <v>25524.05</v>
      </c>
      <c r="AD18" t="inlineStr"/>
    </row>
    <row r="19">
      <c r="A19">
        <f>HYPERLINK("../../data/DEC16_DYNAMIC/DEC12/OTM/NIFTY25D1626050CE_strategy.csv", "NIFTY25D1626050CE")</f>
        <v/>
      </c>
      <c r="B19" t="inlineStr">
        <is>
          <t>CE</t>
        </is>
      </c>
      <c r="C19" t="inlineStr">
        <is>
          <t>14:55:01</t>
        </is>
      </c>
      <c r="D19" t="inlineStr">
        <is>
          <t>15:14:00</t>
        </is>
      </c>
      <c r="E19" t="n">
        <v>77.7</v>
      </c>
      <c r="F19" t="n">
        <v>83.59999999999999</v>
      </c>
      <c r="G19" t="n">
        <v>98660</v>
      </c>
      <c r="H19" t="n">
        <v>106962.85</v>
      </c>
      <c r="I19" t="n">
        <v>74874</v>
      </c>
      <c r="J19" t="inlineStr">
        <is>
          <t>EXECUTED</t>
        </is>
      </c>
      <c r="K19" t="n">
        <v>12.74</v>
      </c>
      <c r="L19" t="n">
        <v>-5.86</v>
      </c>
      <c r="M19">
        <f>HYPERLINK("../../data/DEC16_DYNAMIC/DEC12/OTM/NIFTY25D1626050CE_strategy.html", "View")</f>
        <v/>
      </c>
      <c r="N19" t="inlineStr"/>
      <c r="O19" t="inlineStr">
        <is>
          <t>NEUTRAL</t>
        </is>
      </c>
      <c r="P19" t="inlineStr">
        <is>
          <t>INCLUDED</t>
        </is>
      </c>
      <c r="Q19" t="n">
        <v>7.59</v>
      </c>
      <c r="R19" t="inlineStr">
        <is>
          <t>EOD Exit</t>
        </is>
      </c>
      <c r="S19" t="n">
        <v>0.4987</v>
      </c>
      <c r="T19" t="n">
        <v>0.668</v>
      </c>
      <c r="U19" t="inlineStr">
        <is>
          <t>2025-12-12</t>
        </is>
      </c>
      <c r="V19" t="inlineStr">
        <is>
          <t>Above R1</t>
        </is>
      </c>
      <c r="W19" t="n">
        <v>26026.55</v>
      </c>
      <c r="X19" t="n">
        <v>25983.15</v>
      </c>
      <c r="Y19" t="n">
        <v>25753.6</v>
      </c>
      <c r="Z19" t="n">
        <v>26067.75</v>
      </c>
      <c r="AA19" t="n">
        <v>25608.65</v>
      </c>
      <c r="AB19" t="n">
        <v>26212.7</v>
      </c>
      <c r="AC19" t="n">
        <v>25524.05</v>
      </c>
      <c r="AD19" t="inlineStr"/>
    </row>
    <row r="20">
      <c r="A20">
        <f>HYPERLINK("../../data/DEC16_DYNAMIC/DEC12/OTM/NIFTY25D1626050CE_strategy.csv", "NIFTY25D1626050CE")</f>
        <v/>
      </c>
      <c r="B20" t="inlineStr">
        <is>
          <t>CE</t>
        </is>
      </c>
      <c r="C20" t="inlineStr">
        <is>
          <t>14:33:01</t>
        </is>
      </c>
      <c r="D20" t="inlineStr">
        <is>
          <t>14:37:00</t>
        </is>
      </c>
      <c r="E20" t="n">
        <v>85.25</v>
      </c>
      <c r="F20" t="n">
        <v>78.43000000000001</v>
      </c>
      <c r="G20" t="n">
        <v>81772.75999999999</v>
      </c>
      <c r="H20" t="n">
        <v>106962.85</v>
      </c>
      <c r="I20" t="n">
        <v>74874</v>
      </c>
      <c r="J20" t="inlineStr">
        <is>
          <t>EXECUTED</t>
        </is>
      </c>
      <c r="K20" t="n">
        <v>0.76</v>
      </c>
      <c r="L20" t="n">
        <v>-7.27</v>
      </c>
      <c r="M20">
        <f>HYPERLINK("../../data/DEC16_DYNAMIC/DEC12/OTM/NIFTY25D1626050CE_strategy.html", "View")</f>
        <v/>
      </c>
      <c r="N20" t="inlineStr"/>
      <c r="O20" t="inlineStr">
        <is>
          <t>BULLISH</t>
        </is>
      </c>
      <c r="P20" t="inlineStr">
        <is>
          <t>INCLUDED (HYBRID_NEUTRAL_ZONE)</t>
        </is>
      </c>
      <c r="Q20" t="n">
        <v>-8</v>
      </c>
      <c r="R20" t="inlineStr">
        <is>
          <t>Fixed Stop Loss</t>
        </is>
      </c>
      <c r="S20" t="n">
        <v>0.4333</v>
      </c>
      <c r="T20" t="inlineStr"/>
      <c r="U20" t="inlineStr">
        <is>
          <t>2025-12-12</t>
        </is>
      </c>
      <c r="V20" t="inlineStr">
        <is>
          <t>Above R1</t>
        </is>
      </c>
      <c r="W20" t="n">
        <v>26036.15</v>
      </c>
      <c r="X20" t="n">
        <v>25983.15</v>
      </c>
      <c r="Y20" t="n">
        <v>25753.6</v>
      </c>
      <c r="Z20" t="n">
        <v>26067.75</v>
      </c>
      <c r="AA20" t="n">
        <v>25608.65</v>
      </c>
      <c r="AB20" t="n">
        <v>26212.7</v>
      </c>
      <c r="AC20" t="n">
        <v>25524.05</v>
      </c>
      <c r="AD20" t="inlineStr"/>
    </row>
    <row r="21">
      <c r="A21">
        <f>HYPERLINK("../../data/DEC16_DYNAMIC/DEC12/OTM/NIFTY25D1626000PE_strategy.csv", "NIFTY25D1626000PE")</f>
        <v/>
      </c>
      <c r="B21" t="inlineStr">
        <is>
          <t>PE</t>
        </is>
      </c>
      <c r="C21" t="inlineStr">
        <is>
          <t>14:12:01</t>
        </is>
      </c>
      <c r="D21" t="inlineStr">
        <is>
          <t>14:40:00</t>
        </is>
      </c>
      <c r="E21" t="n">
        <v>54.35</v>
      </c>
      <c r="F21" t="n">
        <v>60.95</v>
      </c>
      <c r="G21" t="n">
        <v>91699.97</v>
      </c>
      <c r="H21" t="n">
        <v>106962.85</v>
      </c>
      <c r="I21" t="n">
        <v>74874</v>
      </c>
      <c r="J21" t="inlineStr">
        <is>
          <t>EXECUTED</t>
        </is>
      </c>
      <c r="K21" t="n">
        <v>17.39</v>
      </c>
      <c r="L21" t="n">
        <v>-6.9</v>
      </c>
      <c r="M21">
        <f>HYPERLINK("../../data/DEC16_DYNAMIC/DEC12/OTM/NIFTY25D1626000PE_strategy.html", "View")</f>
        <v/>
      </c>
      <c r="N21" t="inlineStr"/>
      <c r="O21" t="inlineStr">
        <is>
          <t>BULLISH</t>
        </is>
      </c>
      <c r="P21" t="inlineStr">
        <is>
          <t>INCLUDED (HYBRID_NEUTRAL_ZONE)</t>
        </is>
      </c>
      <c r="Q21" t="n">
        <v>12.14</v>
      </c>
      <c r="R21" t="inlineStr">
        <is>
          <t>Dynamic Trailing MA (Fast/Slow MA)</t>
        </is>
      </c>
      <c r="S21" t="n">
        <v>0.1826</v>
      </c>
      <c r="T21" t="n">
        <v>0.7082000000000001</v>
      </c>
      <c r="U21" t="inlineStr">
        <is>
          <t>2025-12-12</t>
        </is>
      </c>
      <c r="V21" t="inlineStr">
        <is>
          <t>Above R1</t>
        </is>
      </c>
      <c r="W21" t="n">
        <v>26047.35</v>
      </c>
      <c r="X21" t="n">
        <v>25983.15</v>
      </c>
      <c r="Y21" t="n">
        <v>25753.6</v>
      </c>
      <c r="Z21" t="n">
        <v>26067.75</v>
      </c>
      <c r="AA21" t="n">
        <v>25608.65</v>
      </c>
      <c r="AB21" t="n">
        <v>26212.7</v>
      </c>
      <c r="AC21" t="n">
        <v>25524.05</v>
      </c>
      <c r="AD21" t="inlineStr"/>
    </row>
    <row r="22">
      <c r="A22">
        <f>HYPERLINK("../../data/DEC16_DYNAMIC/DEC12/OTM/NIFTY25D1626000PE_strategy.csv", "NIFTY25D1626000PE")</f>
        <v/>
      </c>
      <c r="B22" t="inlineStr">
        <is>
          <t>PE</t>
        </is>
      </c>
      <c r="C22" t="inlineStr">
        <is>
          <t>13:53:01</t>
        </is>
      </c>
      <c r="D22" t="inlineStr">
        <is>
          <t>14:04:00</t>
        </is>
      </c>
      <c r="E22" t="n">
        <v>62.95</v>
      </c>
      <c r="F22" t="n">
        <v>57.91</v>
      </c>
      <c r="G22" t="n">
        <v>88883.42999999999</v>
      </c>
      <c r="H22" t="n">
        <v>106962.85</v>
      </c>
      <c r="I22" t="n">
        <v>74874</v>
      </c>
      <c r="J22" t="inlineStr">
        <is>
          <t>EXECUTED</t>
        </is>
      </c>
      <c r="K22" t="n">
        <v>2.46</v>
      </c>
      <c r="L22" t="n">
        <v>-8.5</v>
      </c>
      <c r="M22">
        <f>HYPERLINK("../../data/DEC16_DYNAMIC/DEC12/OTM/NIFTY25D1626000PE_strategy.html", "View")</f>
        <v/>
      </c>
      <c r="N22" t="inlineStr"/>
      <c r="O22" t="inlineStr">
        <is>
          <t>NEUTRAL</t>
        </is>
      </c>
      <c r="P22" t="inlineStr">
        <is>
          <t>INCLUDED</t>
        </is>
      </c>
      <c r="Q22" t="n">
        <v>-8.01</v>
      </c>
      <c r="R22" t="inlineStr">
        <is>
          <t>Fixed Stop Loss</t>
        </is>
      </c>
      <c r="S22" t="n">
        <v>0.4848</v>
      </c>
      <c r="T22" t="inlineStr"/>
      <c r="U22" t="inlineStr">
        <is>
          <t>2025-12-12</t>
        </is>
      </c>
      <c r="V22" t="inlineStr">
        <is>
          <t>Above R1</t>
        </is>
      </c>
      <c r="W22" t="n">
        <v>26024.05</v>
      </c>
      <c r="X22" t="n">
        <v>25983.15</v>
      </c>
      <c r="Y22" t="n">
        <v>25753.6</v>
      </c>
      <c r="Z22" t="n">
        <v>26067.75</v>
      </c>
      <c r="AA22" t="n">
        <v>25608.65</v>
      </c>
      <c r="AB22" t="n">
        <v>26212.7</v>
      </c>
      <c r="AC22" t="n">
        <v>25524.05</v>
      </c>
      <c r="AD22" t="inlineStr"/>
    </row>
    <row r="23">
      <c r="A23">
        <f>HYPERLINK("../../data/DEC16_DYNAMIC/DEC12/OTM/NIFTY25D1626050CE_strategy.csv", "NIFTY25D1626050CE")</f>
        <v/>
      </c>
      <c r="B23" t="inlineStr">
        <is>
          <t>CE</t>
        </is>
      </c>
      <c r="C23" t="inlineStr">
        <is>
          <t>13:36:01</t>
        </is>
      </c>
      <c r="D23" t="inlineStr">
        <is>
          <t>13:49:00</t>
        </is>
      </c>
      <c r="E23" t="n">
        <v>77.55</v>
      </c>
      <c r="F23" t="n">
        <v>82.98</v>
      </c>
      <c r="G23" t="n">
        <v>96622.92999999999</v>
      </c>
      <c r="H23" t="n">
        <v>106962.85</v>
      </c>
      <c r="I23" t="n">
        <v>74874</v>
      </c>
      <c r="J23" t="inlineStr">
        <is>
          <t>EXECUTED</t>
        </is>
      </c>
      <c r="K23" t="n">
        <v>7.61</v>
      </c>
      <c r="L23" t="n">
        <v>-12.57</v>
      </c>
      <c r="M23">
        <f>HYPERLINK("../../data/DEC16_DYNAMIC/DEC12/OTM/NIFTY25D1626050CE_strategy.html", "View")</f>
        <v/>
      </c>
      <c r="N23" t="inlineStr"/>
      <c r="O23" t="inlineStr">
        <is>
          <t>NEUTRAL</t>
        </is>
      </c>
      <c r="P23" t="inlineStr">
        <is>
          <t>INCLUDED</t>
        </is>
      </c>
      <c r="Q23" t="n">
        <v>7</v>
      </c>
      <c r="R23" t="inlineStr">
        <is>
          <t>Weak Signal Exit</t>
        </is>
      </c>
      <c r="S23" t="n">
        <v>0.3104</v>
      </c>
      <c r="T23" t="n">
        <v>0.5714</v>
      </c>
      <c r="U23" t="inlineStr">
        <is>
          <t>2025-12-12</t>
        </is>
      </c>
      <c r="V23" t="inlineStr">
        <is>
          <t>Above R1</t>
        </is>
      </c>
      <c r="W23" t="n">
        <v>26019.4</v>
      </c>
      <c r="X23" t="n">
        <v>25983.15</v>
      </c>
      <c r="Y23" t="n">
        <v>25753.6</v>
      </c>
      <c r="Z23" t="n">
        <v>26067.75</v>
      </c>
      <c r="AA23" t="n">
        <v>25608.65</v>
      </c>
      <c r="AB23" t="n">
        <v>26212.7</v>
      </c>
      <c r="AC23" t="n">
        <v>25524.05</v>
      </c>
      <c r="AD23" t="inlineStr"/>
    </row>
    <row r="24">
      <c r="A24">
        <f>HYPERLINK("../../data/DEC16_DYNAMIC/DEC12/OTM/NIFTY25D1626000PE_strategy.csv", "NIFTY25D1626000PE")</f>
        <v/>
      </c>
      <c r="B24" t="inlineStr">
        <is>
          <t>PE</t>
        </is>
      </c>
      <c r="C24" t="inlineStr">
        <is>
          <t>13:24:01</t>
        </is>
      </c>
      <c r="D24" t="inlineStr">
        <is>
          <t>13:40:00</t>
        </is>
      </c>
      <c r="E24" t="n">
        <v>63.7</v>
      </c>
      <c r="F24" t="n">
        <v>62.34</v>
      </c>
      <c r="G24" t="n">
        <v>90301.8</v>
      </c>
      <c r="H24" t="n">
        <v>106962.85</v>
      </c>
      <c r="I24" t="n">
        <v>74874</v>
      </c>
      <c r="J24" t="inlineStr">
        <is>
          <t>EXECUTED</t>
        </is>
      </c>
      <c r="K24" t="n">
        <v>14.91</v>
      </c>
      <c r="L24" t="n">
        <v>-4.08</v>
      </c>
      <c r="M24">
        <f>HYPERLINK("../../data/DEC16_DYNAMIC/DEC12/OTM/NIFTY25D1626000PE_strategy.html", "View")</f>
        <v/>
      </c>
      <c r="N24" t="inlineStr"/>
      <c r="O24" t="inlineStr">
        <is>
          <t>NEUTRAL</t>
        </is>
      </c>
      <c r="P24" t="inlineStr">
        <is>
          <t>INCLUDED</t>
        </is>
      </c>
      <c r="Q24" t="n">
        <v>-2.14</v>
      </c>
      <c r="R24" t="inlineStr">
        <is>
          <t>SuperTrend Stop Loss Exit</t>
        </is>
      </c>
      <c r="S24" t="n">
        <v>0.4048</v>
      </c>
      <c r="T24" t="n">
        <v>0.784</v>
      </c>
      <c r="U24" t="inlineStr">
        <is>
          <t>2025-12-12</t>
        </is>
      </c>
      <c r="V24" t="inlineStr">
        <is>
          <t>Above R1</t>
        </is>
      </c>
      <c r="W24" t="n">
        <v>26021.2</v>
      </c>
      <c r="X24" t="n">
        <v>25983.15</v>
      </c>
      <c r="Y24" t="n">
        <v>25753.6</v>
      </c>
      <c r="Z24" t="n">
        <v>26067.75</v>
      </c>
      <c r="AA24" t="n">
        <v>25608.65</v>
      </c>
      <c r="AB24" t="n">
        <v>26212.7</v>
      </c>
      <c r="AC24" t="n">
        <v>25524.05</v>
      </c>
      <c r="AD24" t="inlineStr"/>
    </row>
    <row r="25">
      <c r="A25">
        <f>HYPERLINK("../../data/DEC16_DYNAMIC/DEC12/OTM/NIFTY25D1626050CE_strategy.csv", "NIFTY25D1626050CE")</f>
        <v/>
      </c>
      <c r="B25" t="inlineStr">
        <is>
          <t>CE</t>
        </is>
      </c>
      <c r="C25" t="inlineStr">
        <is>
          <t>13:10:01</t>
        </is>
      </c>
      <c r="D25" t="inlineStr">
        <is>
          <t>13:13:00</t>
        </is>
      </c>
      <c r="E25" t="n">
        <v>77.40000000000001</v>
      </c>
      <c r="F25" t="n">
        <v>82.81999999999999</v>
      </c>
      <c r="G25" t="n">
        <v>92276.52</v>
      </c>
      <c r="H25" t="n">
        <v>106962.85</v>
      </c>
      <c r="I25" t="n">
        <v>74874</v>
      </c>
      <c r="J25" t="inlineStr">
        <is>
          <t>EXECUTED</t>
        </is>
      </c>
      <c r="K25" t="n">
        <v>9.17</v>
      </c>
      <c r="L25" t="n">
        <v>-10.14</v>
      </c>
      <c r="M25">
        <f>HYPERLINK("../../data/DEC16_DYNAMIC/DEC12/OTM/NIFTY25D1626050CE_strategy.html", "View")</f>
        <v/>
      </c>
      <c r="N25" t="inlineStr"/>
      <c r="O25" t="inlineStr">
        <is>
          <t>NEUTRAL</t>
        </is>
      </c>
      <c r="P25" t="inlineStr">
        <is>
          <t>INCLUDED</t>
        </is>
      </c>
      <c r="Q25" t="n">
        <v>7</v>
      </c>
      <c r="R25" t="inlineStr">
        <is>
          <t>Weak Signal Exit</t>
        </is>
      </c>
      <c r="S25" t="n">
        <v>0.3984</v>
      </c>
      <c r="T25" t="n">
        <v>0.5195</v>
      </c>
      <c r="U25" t="inlineStr">
        <is>
          <t>2025-12-12</t>
        </is>
      </c>
      <c r="V25" t="inlineStr">
        <is>
          <t>Above R1</t>
        </is>
      </c>
      <c r="W25" t="n">
        <v>26022.1</v>
      </c>
      <c r="X25" t="n">
        <v>25983.15</v>
      </c>
      <c r="Y25" t="n">
        <v>25753.6</v>
      </c>
      <c r="Z25" t="n">
        <v>26067.75</v>
      </c>
      <c r="AA25" t="n">
        <v>25608.65</v>
      </c>
      <c r="AB25" t="n">
        <v>26212.7</v>
      </c>
      <c r="AC25" t="n">
        <v>25524.05</v>
      </c>
      <c r="AD25" t="inlineStr"/>
    </row>
    <row r="26">
      <c r="A26">
        <f>HYPERLINK("../../data/DEC16_DYNAMIC/DEC12/OTM/NIFTY25D1626000PE_strategy.csv", "NIFTY25D1626000PE")</f>
        <v/>
      </c>
      <c r="B26" t="inlineStr">
        <is>
          <t>PE</t>
        </is>
      </c>
      <c r="C26" t="inlineStr">
        <is>
          <t>13:07:01</t>
        </is>
      </c>
      <c r="D26" t="inlineStr">
        <is>
          <t>13:13:00</t>
        </is>
      </c>
      <c r="E26" t="n">
        <v>67.5</v>
      </c>
      <c r="F26" t="n">
        <v>60.96</v>
      </c>
      <c r="G26" t="n">
        <v>86239.74000000001</v>
      </c>
      <c r="H26" t="n">
        <v>106962.85</v>
      </c>
      <c r="I26" t="n">
        <v>74874</v>
      </c>
      <c r="J26" t="inlineStr">
        <is>
          <t>EXECUTED</t>
        </is>
      </c>
      <c r="K26" t="n">
        <v>10.44</v>
      </c>
      <c r="L26" t="n">
        <v>-9.85</v>
      </c>
      <c r="M26">
        <f>HYPERLINK("../../data/DEC16_DYNAMIC/DEC12/OTM/NIFTY25D1626000PE_strategy.html", "View")</f>
        <v/>
      </c>
      <c r="N26" t="inlineStr"/>
      <c r="O26" t="inlineStr">
        <is>
          <t>NEUTRAL</t>
        </is>
      </c>
      <c r="P26" t="inlineStr">
        <is>
          <t>INCLUDED</t>
        </is>
      </c>
      <c r="Q26" t="n">
        <v>-9.69</v>
      </c>
      <c r="R26" t="inlineStr">
        <is>
          <t>SuperTrend Stop Loss Exit</t>
        </is>
      </c>
      <c r="S26" t="n">
        <v>0.5439000000000001</v>
      </c>
      <c r="T26" t="n">
        <v>0.6596</v>
      </c>
      <c r="U26" t="inlineStr">
        <is>
          <t>2025-12-12</t>
        </is>
      </c>
      <c r="V26" t="inlineStr">
        <is>
          <t>Above R1</t>
        </is>
      </c>
      <c r="W26" t="n">
        <v>26012.2</v>
      </c>
      <c r="X26" t="n">
        <v>25983.15</v>
      </c>
      <c r="Y26" t="n">
        <v>25753.6</v>
      </c>
      <c r="Z26" t="n">
        <v>26067.75</v>
      </c>
      <c r="AA26" t="n">
        <v>25608.65</v>
      </c>
      <c r="AB26" t="n">
        <v>26212.7</v>
      </c>
      <c r="AC26" t="n">
        <v>25524.05</v>
      </c>
      <c r="AD26" t="inlineStr"/>
    </row>
    <row r="27">
      <c r="A27">
        <f>HYPERLINK("../../data/DEC16_DYNAMIC/DEC12/OTM/NIFTY25D1626050CE_strategy.csv", "NIFTY25D1626050CE")</f>
        <v/>
      </c>
      <c r="B27" t="inlineStr">
        <is>
          <t>CE</t>
        </is>
      </c>
      <c r="C27" t="inlineStr">
        <is>
          <t>12:55:01</t>
        </is>
      </c>
      <c r="D27" t="inlineStr">
        <is>
          <t>13:07:00</t>
        </is>
      </c>
      <c r="E27" t="n">
        <v>79.25</v>
      </c>
      <c r="F27" t="n">
        <v>72.91</v>
      </c>
      <c r="G27" t="n">
        <v>95493.00999999999</v>
      </c>
      <c r="H27" t="n">
        <v>106962.85</v>
      </c>
      <c r="I27" t="n">
        <v>74874</v>
      </c>
      <c r="J27" t="inlineStr">
        <is>
          <t>EXECUTED</t>
        </is>
      </c>
      <c r="K27" t="n">
        <v>6.62</v>
      </c>
      <c r="L27" t="n">
        <v>-7.38</v>
      </c>
      <c r="M27">
        <f>HYPERLINK("../../data/DEC16_DYNAMIC/DEC12/OTM/NIFTY25D1626050CE_strategy.html", "View")</f>
        <v/>
      </c>
      <c r="N27" t="inlineStr"/>
      <c r="O27" t="inlineStr">
        <is>
          <t>NEUTRAL</t>
        </is>
      </c>
      <c r="P27" t="inlineStr">
        <is>
          <t>INCLUDED</t>
        </is>
      </c>
      <c r="Q27" t="n">
        <v>-8</v>
      </c>
      <c r="R27" t="inlineStr">
        <is>
          <t>Fixed Stop Loss</t>
        </is>
      </c>
      <c r="S27" t="n">
        <v>0.4324</v>
      </c>
      <c r="T27" t="inlineStr"/>
      <c r="U27" t="inlineStr">
        <is>
          <t>2025-12-12</t>
        </is>
      </c>
      <c r="V27" t="inlineStr">
        <is>
          <t>Above R1</t>
        </is>
      </c>
      <c r="W27" t="n">
        <v>26021.1</v>
      </c>
      <c r="X27" t="n">
        <v>25983.15</v>
      </c>
      <c r="Y27" t="n">
        <v>25753.6</v>
      </c>
      <c r="Z27" t="n">
        <v>26067.75</v>
      </c>
      <c r="AA27" t="n">
        <v>25608.65</v>
      </c>
      <c r="AB27" t="n">
        <v>26212.7</v>
      </c>
      <c r="AC27" t="n">
        <v>25524.05</v>
      </c>
      <c r="AD27" t="inlineStr"/>
    </row>
    <row r="28">
      <c r="A28">
        <f>HYPERLINK("../../data/DEC16_DYNAMIC/DEC12/OTM/NIFTY25D1626000PE_strategy.csv", "NIFTY25D1626000PE")</f>
        <v/>
      </c>
      <c r="B28" t="inlineStr">
        <is>
          <t>PE</t>
        </is>
      </c>
      <c r="C28" t="inlineStr">
        <is>
          <t>12:39:01</t>
        </is>
      </c>
      <c r="D28" t="inlineStr">
        <is>
          <t>12:59:00</t>
        </is>
      </c>
      <c r="E28" t="n">
        <v>67.5</v>
      </c>
      <c r="F28" t="n">
        <v>65.5</v>
      </c>
      <c r="G28" t="n">
        <v>103796.75</v>
      </c>
      <c r="H28" t="n">
        <v>106962.85</v>
      </c>
      <c r="I28" t="n">
        <v>74874</v>
      </c>
      <c r="J28" t="inlineStr">
        <is>
          <t>EXECUTED</t>
        </is>
      </c>
      <c r="K28" t="n">
        <v>8.59</v>
      </c>
      <c r="L28" t="n">
        <v>-12.15</v>
      </c>
      <c r="M28">
        <f>HYPERLINK("../../data/DEC16_DYNAMIC/DEC12/OTM/NIFTY25D1626000PE_strategy.html", "View")</f>
        <v/>
      </c>
      <c r="N28" t="inlineStr"/>
      <c r="O28" t="inlineStr">
        <is>
          <t>NEUTRAL</t>
        </is>
      </c>
      <c r="P28" t="inlineStr">
        <is>
          <t>INCLUDED</t>
        </is>
      </c>
      <c r="Q28" t="n">
        <v>-2.96</v>
      </c>
      <c r="R28" t="inlineStr">
        <is>
          <t>Dynamic Trailing MA (Fast/Slow MA)</t>
        </is>
      </c>
      <c r="S28" t="n">
        <v>0.4578</v>
      </c>
      <c r="T28" t="n">
        <v>0.7973</v>
      </c>
      <c r="U28" t="inlineStr">
        <is>
          <t>2025-12-12</t>
        </is>
      </c>
      <c r="V28" t="inlineStr">
        <is>
          <t>Above R1</t>
        </is>
      </c>
      <c r="W28" t="n">
        <v>26022.15</v>
      </c>
      <c r="X28" t="n">
        <v>25983.15</v>
      </c>
      <c r="Y28" t="n">
        <v>25753.6</v>
      </c>
      <c r="Z28" t="n">
        <v>26067.75</v>
      </c>
      <c r="AA28" t="n">
        <v>25608.65</v>
      </c>
      <c r="AB28" t="n">
        <v>26212.7</v>
      </c>
      <c r="AC28" t="n">
        <v>25524.05</v>
      </c>
      <c r="AD28" t="inlineStr"/>
    </row>
    <row r="29">
      <c r="A29">
        <f>HYPERLINK("../../data/DEC16_DYNAMIC/DEC12/OTM/NIFTY25D1626050CE_strategy.csv", "NIFTY25D1626050CE")</f>
        <v/>
      </c>
      <c r="B29" t="inlineStr">
        <is>
          <t>CE</t>
        </is>
      </c>
      <c r="C29" t="inlineStr">
        <is>
          <t>12:17:01</t>
        </is>
      </c>
      <c r="D29" t="inlineStr">
        <is>
          <t>12:39:00</t>
        </is>
      </c>
      <c r="E29" t="n">
        <v>77.05</v>
      </c>
      <c r="F29" t="n">
        <v>79.5</v>
      </c>
      <c r="G29" t="n">
        <v>106962.85</v>
      </c>
      <c r="H29" t="n">
        <v>106962.85</v>
      </c>
      <c r="I29" t="n">
        <v>74874</v>
      </c>
      <c r="J29" t="inlineStr">
        <is>
          <t>EXECUTED</t>
        </is>
      </c>
      <c r="K29" t="n">
        <v>18.62</v>
      </c>
      <c r="L29" t="n">
        <v>-10.32</v>
      </c>
      <c r="M29">
        <f>HYPERLINK("../../data/DEC16_DYNAMIC/DEC12/OTM/NIFTY25D1626050CE_strategy.html", "View")</f>
        <v/>
      </c>
      <c r="N29" t="inlineStr"/>
      <c r="O29" t="inlineStr">
        <is>
          <t>NEUTRAL</t>
        </is>
      </c>
      <c r="P29" t="inlineStr">
        <is>
          <t>INCLUDED</t>
        </is>
      </c>
      <c r="Q29" t="n">
        <v>3.18</v>
      </c>
      <c r="R29" t="inlineStr">
        <is>
          <t>SuperTrend Stop Loss Exit</t>
        </is>
      </c>
      <c r="S29" t="n">
        <v>0.3715</v>
      </c>
      <c r="T29" t="n">
        <v>0.7382</v>
      </c>
      <c r="U29" t="inlineStr">
        <is>
          <t>2025-12-12</t>
        </is>
      </c>
      <c r="V29" t="inlineStr">
        <is>
          <t>Above R1</t>
        </is>
      </c>
      <c r="W29" t="n">
        <v>26014.9</v>
      </c>
      <c r="X29" t="n">
        <v>25983.15</v>
      </c>
      <c r="Y29" t="n">
        <v>25753.6</v>
      </c>
      <c r="Z29" t="n">
        <v>26067.75</v>
      </c>
      <c r="AA29" t="n">
        <v>25608.65</v>
      </c>
      <c r="AB29" t="n">
        <v>26212.7</v>
      </c>
      <c r="AC29" t="n">
        <v>25524.05</v>
      </c>
      <c r="AD29" t="inlineStr"/>
    </row>
    <row r="30">
      <c r="A30">
        <f>HYPERLINK("../../data/DEC16_DYNAMIC/DEC12/OTM/NIFTY25D1626000PE_strategy.csv", "NIFTY25D1626000PE")</f>
        <v/>
      </c>
      <c r="B30" t="inlineStr">
        <is>
          <t>PE</t>
        </is>
      </c>
      <c r="C30" t="inlineStr">
        <is>
          <t>12:04:01</t>
        </is>
      </c>
      <c r="D30" t="inlineStr">
        <is>
          <t>12:05:00</t>
        </is>
      </c>
      <c r="E30" t="n">
        <v>68.3</v>
      </c>
      <c r="F30" t="n">
        <v>73.08</v>
      </c>
      <c r="G30" t="n">
        <v>103666.27</v>
      </c>
      <c r="H30" t="n">
        <v>103666.27</v>
      </c>
      <c r="I30" t="n">
        <v>72566.39</v>
      </c>
      <c r="J30" t="inlineStr">
        <is>
          <t>EXECUTED</t>
        </is>
      </c>
      <c r="K30" t="n">
        <v>8.35</v>
      </c>
      <c r="L30" t="n">
        <v>-7.03</v>
      </c>
      <c r="M30">
        <f>HYPERLINK("../../data/DEC16_DYNAMIC/DEC12/OTM/NIFTY25D1626000PE_strategy.html", "View")</f>
        <v/>
      </c>
      <c r="N30" t="inlineStr"/>
      <c r="O30" t="inlineStr">
        <is>
          <t>NEUTRAL</t>
        </is>
      </c>
      <c r="P30" t="inlineStr">
        <is>
          <t>INCLUDED</t>
        </is>
      </c>
      <c r="Q30" t="n">
        <v>7</v>
      </c>
      <c r="R30" t="inlineStr">
        <is>
          <t>Weak Signal Exit</t>
        </is>
      </c>
      <c r="S30" t="n">
        <v>0.3309</v>
      </c>
      <c r="T30" t="n">
        <v>0.4183</v>
      </c>
      <c r="U30" t="inlineStr">
        <is>
          <t>2025-12-12</t>
        </is>
      </c>
      <c r="V30" t="inlineStr">
        <is>
          <t>Above R1</t>
        </is>
      </c>
      <c r="W30" t="n">
        <v>26021.6</v>
      </c>
      <c r="X30" t="n">
        <v>25983.15</v>
      </c>
      <c r="Y30" t="n">
        <v>25753.6</v>
      </c>
      <c r="Z30" t="n">
        <v>26067.75</v>
      </c>
      <c r="AA30" t="n">
        <v>25608.65</v>
      </c>
      <c r="AB30" t="n">
        <v>26212.7</v>
      </c>
      <c r="AC30" t="n">
        <v>25524.05</v>
      </c>
      <c r="AD30" t="inlineStr"/>
    </row>
    <row r="31">
      <c r="A31">
        <f>HYPERLINK("../../data/DEC16_DYNAMIC/DEC12/OTM/NIFTY25D1626000CE_strategy.csv", "NIFTY25D1626000CE")</f>
        <v/>
      </c>
      <c r="B31" t="inlineStr">
        <is>
          <t>CE</t>
        </is>
      </c>
      <c r="C31" t="inlineStr">
        <is>
          <t>10:16:01</t>
        </is>
      </c>
      <c r="D31" t="inlineStr">
        <is>
          <t>10:17:00</t>
        </is>
      </c>
      <c r="E31" t="n">
        <v>109</v>
      </c>
      <c r="F31" t="n">
        <v>100.28</v>
      </c>
      <c r="G31" t="n">
        <v>92000</v>
      </c>
      <c r="H31" t="n">
        <v>100000</v>
      </c>
      <c r="I31" t="n">
        <v>70000</v>
      </c>
      <c r="J31" t="inlineStr">
        <is>
          <t>EXECUTED</t>
        </is>
      </c>
      <c r="K31" t="n">
        <v>0</v>
      </c>
      <c r="L31" t="n">
        <v>-18.49</v>
      </c>
      <c r="M31">
        <f>HYPERLINK("../../data/DEC16_DYNAMIC/DEC12/OTM/NIFTY25D1626000CE_strategy.html", "View")</f>
        <v/>
      </c>
      <c r="N31" t="inlineStr"/>
      <c r="O31" t="inlineStr">
        <is>
          <t>BULLISH</t>
        </is>
      </c>
      <c r="P31" t="inlineStr">
        <is>
          <t>INCLUDED (HYBRID_NEUTRAL_ZONE)</t>
        </is>
      </c>
      <c r="Q31" t="n">
        <v>-8</v>
      </c>
      <c r="R31" t="inlineStr">
        <is>
          <t>Fixed Stop Loss</t>
        </is>
      </c>
      <c r="S31" t="n">
        <v>0.532</v>
      </c>
      <c r="T31" t="inlineStr"/>
      <c r="U31" t="inlineStr">
        <is>
          <t>2025-12-12</t>
        </is>
      </c>
      <c r="V31" t="inlineStr">
        <is>
          <t>Above R1</t>
        </is>
      </c>
      <c r="W31" t="n">
        <v>25999.55</v>
      </c>
      <c r="X31" t="n">
        <v>25983.15</v>
      </c>
      <c r="Y31" t="n">
        <v>25753.6</v>
      </c>
      <c r="Z31" t="n">
        <v>26067.75</v>
      </c>
      <c r="AA31" t="n">
        <v>25608.65</v>
      </c>
      <c r="AB31" t="n">
        <v>26212.7</v>
      </c>
      <c r="AC31" t="n">
        <v>25524.05</v>
      </c>
      <c r="AD31" t="inlineStr"/>
    </row>
    <row r="32">
      <c r="A32">
        <f>HYPERLINK("../../data/JAN20_DYNAMIC/JAN16/OTM/NIFTY2612025800CE_strategy.csv", "NIFTY2612025800CE")</f>
        <v/>
      </c>
      <c r="B32" t="inlineStr">
        <is>
          <t>CE</t>
        </is>
      </c>
      <c r="C32" t="inlineStr">
        <is>
          <t>12:07:01</t>
        </is>
      </c>
      <c r="D32" t="inlineStr">
        <is>
          <t>12:26:00</t>
        </is>
      </c>
      <c r="E32" t="n">
        <v>124.5</v>
      </c>
      <c r="F32" t="n">
        <v>124.98</v>
      </c>
      <c r="G32" t="n">
        <v>121126.57</v>
      </c>
      <c r="H32" t="n">
        <v>152462.03</v>
      </c>
      <c r="I32" t="n">
        <v>106723.42</v>
      </c>
      <c r="J32" t="inlineStr">
        <is>
          <t>EXECUTED</t>
        </is>
      </c>
      <c r="K32" t="n">
        <v>16.47</v>
      </c>
      <c r="L32" t="n">
        <v>-14.98</v>
      </c>
      <c r="M32">
        <f>HYPERLINK("../../data/JAN20_DYNAMIC/JAN16/OTM/NIFTY2612025800CE_strategy.html", "View")</f>
        <v/>
      </c>
      <c r="N32" t="inlineStr"/>
      <c r="O32" t="inlineStr">
        <is>
          <t>BULLISH</t>
        </is>
      </c>
      <c r="P32" t="inlineStr">
        <is>
          <t>INCLUDED (HYBRID_NEUTRAL_ZONE)</t>
        </is>
      </c>
      <c r="Q32" t="n">
        <v>0.39</v>
      </c>
      <c r="R32" t="inlineStr">
        <is>
          <t>SuperTrend Stop Loss Exit</t>
        </is>
      </c>
      <c r="S32" t="n">
        <v>0.5585</v>
      </c>
      <c r="T32" t="n">
        <v>0.6404</v>
      </c>
      <c r="U32" t="inlineStr">
        <is>
          <t>2026-01-16</t>
        </is>
      </c>
      <c r="V32" t="inlineStr">
        <is>
          <t>Above R1</t>
        </is>
      </c>
      <c r="W32" t="n">
        <v>25800.51</v>
      </c>
      <c r="X32" t="n">
        <v>25770.25</v>
      </c>
      <c r="Y32" t="n">
        <v>25582.45</v>
      </c>
      <c r="Z32" t="n">
        <v>25874.9</v>
      </c>
      <c r="AA32" t="n">
        <v>25499.3</v>
      </c>
      <c r="AB32" t="n">
        <v>25958.05</v>
      </c>
      <c r="AC32" t="n">
        <v>25394.65</v>
      </c>
      <c r="AD32" t="inlineStr"/>
    </row>
    <row r="33">
      <c r="A33">
        <f>HYPERLINK("../../data/JAN20_DYNAMIC/JAN16/OTM/NIFTY2612025800CE_strategy.csv", "NIFTY2612025800CE")</f>
        <v/>
      </c>
      <c r="B33" t="inlineStr">
        <is>
          <t>CE</t>
        </is>
      </c>
      <c r="C33" t="inlineStr">
        <is>
          <t>11:56:01</t>
        </is>
      </c>
      <c r="D33" t="inlineStr">
        <is>
          <t>11:58:00</t>
        </is>
      </c>
      <c r="E33" t="n">
        <v>124.15</v>
      </c>
      <c r="F33" t="n">
        <v>116.08</v>
      </c>
      <c r="G33" t="n">
        <v>120656.01</v>
      </c>
      <c r="H33" t="n">
        <v>152462.03</v>
      </c>
      <c r="I33" t="n">
        <v>106723.42</v>
      </c>
      <c r="J33" t="inlineStr">
        <is>
          <t>EXECUTED</t>
        </is>
      </c>
      <c r="K33" t="n">
        <v>0</v>
      </c>
      <c r="L33" t="n">
        <v>-7.45</v>
      </c>
      <c r="M33">
        <f>HYPERLINK("../../data/JAN20_DYNAMIC/JAN16/OTM/NIFTY2612025800CE_strategy.html", "View")</f>
        <v/>
      </c>
      <c r="N33" t="inlineStr"/>
      <c r="O33" t="inlineStr">
        <is>
          <t>BULLISH</t>
        </is>
      </c>
      <c r="P33" t="inlineStr">
        <is>
          <t>INCLUDED (HYBRID_NEUTRAL_ZONE)</t>
        </is>
      </c>
      <c r="Q33" t="n">
        <v>-6.5</v>
      </c>
      <c r="R33" t="inlineStr">
        <is>
          <t>Fixed Stop Loss</t>
        </is>
      </c>
      <c r="S33" t="n">
        <v>0.4045</v>
      </c>
      <c r="T33" t="inlineStr"/>
      <c r="U33" t="inlineStr">
        <is>
          <t>2026-01-16</t>
        </is>
      </c>
      <c r="V33" t="inlineStr">
        <is>
          <t>Above R1</t>
        </is>
      </c>
      <c r="W33" t="n">
        <v>25794.81</v>
      </c>
      <c r="X33" t="n">
        <v>25770.25</v>
      </c>
      <c r="Y33" t="n">
        <v>25582.45</v>
      </c>
      <c r="Z33" t="n">
        <v>25874.9</v>
      </c>
      <c r="AA33" t="n">
        <v>25499.3</v>
      </c>
      <c r="AB33" t="n">
        <v>25958.05</v>
      </c>
      <c r="AC33" t="n">
        <v>25394.65</v>
      </c>
      <c r="AD33" t="inlineStr"/>
    </row>
    <row r="34">
      <c r="A34">
        <f>HYPERLINK("../../data/JAN20_DYNAMIC/JAN16/OTM/NIFTY2612025850CE_strategy.csv", "NIFTY2612025850CE")</f>
        <v/>
      </c>
      <c r="B34" t="inlineStr">
        <is>
          <t>CE</t>
        </is>
      </c>
      <c r="C34" t="inlineStr">
        <is>
          <t>11:31:01</t>
        </is>
      </c>
      <c r="D34" t="inlineStr">
        <is>
          <t>11:32:00</t>
        </is>
      </c>
      <c r="E34" t="n">
        <v>112.15</v>
      </c>
      <c r="F34" t="n">
        <v>103.18</v>
      </c>
      <c r="G34" t="n">
        <v>129043.86</v>
      </c>
      <c r="H34" t="n">
        <v>152462.03</v>
      </c>
      <c r="I34" t="n">
        <v>106723.42</v>
      </c>
      <c r="J34" t="inlineStr">
        <is>
          <t>EXECUTED</t>
        </is>
      </c>
      <c r="K34" t="n">
        <v>3.48</v>
      </c>
      <c r="L34" t="n">
        <v>-11.01</v>
      </c>
      <c r="M34">
        <f>HYPERLINK("../../data/JAN20_DYNAMIC/JAN16/OTM/NIFTY2612025850CE_strategy.html", "View")</f>
        <v/>
      </c>
      <c r="N34" t="inlineStr"/>
      <c r="O34" t="inlineStr">
        <is>
          <t>NEUTRAL</t>
        </is>
      </c>
      <c r="P34" t="inlineStr">
        <is>
          <t>INCLUDED</t>
        </is>
      </c>
      <c r="Q34" t="n">
        <v>-8</v>
      </c>
      <c r="R34" t="inlineStr">
        <is>
          <t>Fixed Stop Loss</t>
        </is>
      </c>
      <c r="S34" t="n">
        <v>0.6388</v>
      </c>
      <c r="T34" t="inlineStr"/>
      <c r="U34" t="inlineStr">
        <is>
          <t>2026-01-16</t>
        </is>
      </c>
      <c r="V34" t="inlineStr">
        <is>
          <t>Above R1</t>
        </is>
      </c>
      <c r="W34" t="n">
        <v>25826.62</v>
      </c>
      <c r="X34" t="n">
        <v>25770.25</v>
      </c>
      <c r="Y34" t="n">
        <v>25582.45</v>
      </c>
      <c r="Z34" t="n">
        <v>25874.9</v>
      </c>
      <c r="AA34" t="n">
        <v>25499.3</v>
      </c>
      <c r="AB34" t="n">
        <v>25958.05</v>
      </c>
      <c r="AC34" t="n">
        <v>25394.65</v>
      </c>
      <c r="AD34" t="inlineStr"/>
    </row>
    <row r="35">
      <c r="A35">
        <f>HYPERLINK("../../data/JAN20_DYNAMIC/JAN16/OTM/NIFTY2612025850PE_strategy.csv", "NIFTY2612025850PE")</f>
        <v/>
      </c>
      <c r="B35" t="inlineStr">
        <is>
          <t>PE</t>
        </is>
      </c>
      <c r="C35" t="inlineStr">
        <is>
          <t>10:44:01</t>
        </is>
      </c>
      <c r="D35" t="inlineStr">
        <is>
          <t>10:48:00</t>
        </is>
      </c>
      <c r="E35" t="n">
        <v>95.90000000000001</v>
      </c>
      <c r="F35" t="n">
        <v>88.23</v>
      </c>
      <c r="G35" t="n">
        <v>140265.07</v>
      </c>
      <c r="H35" t="n">
        <v>152462.03</v>
      </c>
      <c r="I35" t="n">
        <v>106723.42</v>
      </c>
      <c r="J35" t="inlineStr">
        <is>
          <t>EXECUTED</t>
        </is>
      </c>
      <c r="K35" t="n">
        <v>0</v>
      </c>
      <c r="L35" t="n">
        <v>-11.73</v>
      </c>
      <c r="M35">
        <f>HYPERLINK("../../data/JAN20_DYNAMIC/JAN16/OTM/NIFTY2612025850PE_strategy.html", "View")</f>
        <v/>
      </c>
      <c r="N35" t="inlineStr"/>
      <c r="O35" t="inlineStr">
        <is>
          <t>BEARISH</t>
        </is>
      </c>
      <c r="P35" t="inlineStr">
        <is>
          <t>INCLUDED (HYBRID_NEUTRAL_ZONE)</t>
        </is>
      </c>
      <c r="Q35" t="n">
        <v>-8</v>
      </c>
      <c r="R35" t="inlineStr">
        <is>
          <t>Fixed Stop Loss</t>
        </is>
      </c>
      <c r="S35" t="n">
        <v>0.6272</v>
      </c>
      <c r="T35" t="inlineStr"/>
      <c r="U35" t="inlineStr">
        <is>
          <t>2026-01-16</t>
        </is>
      </c>
      <c r="V35" t="inlineStr">
        <is>
          <t>Above R1</t>
        </is>
      </c>
      <c r="W35" t="n">
        <v>25842.85</v>
      </c>
      <c r="X35" t="n">
        <v>25770.25</v>
      </c>
      <c r="Y35" t="n">
        <v>25582.45</v>
      </c>
      <c r="Z35" t="n">
        <v>25874.9</v>
      </c>
      <c r="AA35" t="n">
        <v>25499.3</v>
      </c>
      <c r="AB35" t="n">
        <v>25958.05</v>
      </c>
      <c r="AC35" t="n">
        <v>25394.65</v>
      </c>
      <c r="AD35" t="inlineStr"/>
    </row>
    <row r="36">
      <c r="A36">
        <f>HYPERLINK("../../data/JAN27_DYNAMIC/JAN22/OTM/NIFTY26JAN25350PE_strategy.csv", "NIFTY26JAN25350PE")</f>
        <v/>
      </c>
      <c r="B36" t="inlineStr">
        <is>
          <t>PE</t>
        </is>
      </c>
      <c r="C36" t="inlineStr">
        <is>
          <t>10:02:01</t>
        </is>
      </c>
      <c r="D36" t="inlineStr">
        <is>
          <t>10:12:00</t>
        </is>
      </c>
      <c r="E36" t="n">
        <v>106.3</v>
      </c>
      <c r="F36" t="n">
        <v>97.8</v>
      </c>
      <c r="G36" t="n">
        <v>86020</v>
      </c>
      <c r="H36" t="n">
        <v>100000</v>
      </c>
      <c r="I36" t="n">
        <v>70000</v>
      </c>
      <c r="J36" t="inlineStr">
        <is>
          <t>EXECUTED</t>
        </is>
      </c>
      <c r="K36" t="n">
        <v>7.2</v>
      </c>
      <c r="L36" t="n">
        <v>-9.220000000000001</v>
      </c>
      <c r="M36">
        <f>HYPERLINK("../../data/JAN27_DYNAMIC/JAN22/OTM/NIFTY26JAN25350PE_strategy.html", "View")</f>
        <v/>
      </c>
      <c r="N36" t="inlineStr"/>
      <c r="O36" t="inlineStr">
        <is>
          <t>BEARISH</t>
        </is>
      </c>
      <c r="P36" t="inlineStr">
        <is>
          <t>INCLUDED (HYBRID_NEUTRAL_ZONE)</t>
        </is>
      </c>
      <c r="Q36" t="n">
        <v>-8</v>
      </c>
      <c r="R36" t="inlineStr">
        <is>
          <t>Fixed Stop Loss</t>
        </is>
      </c>
      <c r="S36" t="n">
        <v>0.631</v>
      </c>
      <c r="T36" t="n">
        <v>0.6463</v>
      </c>
      <c r="U36" t="inlineStr">
        <is>
          <t>2026-01-22</t>
        </is>
      </c>
      <c r="V36" t="inlineStr">
        <is>
          <t>Above R1</t>
        </is>
      </c>
      <c r="W36" t="n">
        <v>25376.86</v>
      </c>
      <c r="X36" t="n">
        <v>25332.37</v>
      </c>
      <c r="Y36" t="n">
        <v>24951.22</v>
      </c>
      <c r="Z36" t="n">
        <v>25507.23</v>
      </c>
      <c r="AA36" t="n">
        <v>24744.93</v>
      </c>
      <c r="AB36" t="n">
        <v>25713.52</v>
      </c>
      <c r="AC36" t="n">
        <v>24570.07</v>
      </c>
      <c r="AD36" t="inlineStr"/>
    </row>
    <row r="37">
      <c r="A37">
        <f>HYPERLINK("../../data/JAN27_DYNAMIC/JAN22/OTM/NIFTY26JAN25400PE_strategy.csv", "NIFTY26JAN25400PE")</f>
        <v/>
      </c>
      <c r="B37" t="inlineStr">
        <is>
          <t>PE</t>
        </is>
      </c>
      <c r="C37" t="inlineStr">
        <is>
          <t>09:54:01</t>
        </is>
      </c>
      <c r="D37" t="inlineStr">
        <is>
          <t>09:58:00</t>
        </is>
      </c>
      <c r="E37" t="n">
        <v>130.15</v>
      </c>
      <c r="F37" t="n">
        <v>121.69</v>
      </c>
      <c r="G37" t="n">
        <v>93500</v>
      </c>
      <c r="H37" t="n">
        <v>100000</v>
      </c>
      <c r="I37" t="n">
        <v>70000</v>
      </c>
      <c r="J37" t="inlineStr">
        <is>
          <t>EXECUTED</t>
        </is>
      </c>
      <c r="K37" t="n">
        <v>4</v>
      </c>
      <c r="L37" t="n">
        <v>-14.68</v>
      </c>
      <c r="M37">
        <f>HYPERLINK("../../data/JAN27_DYNAMIC/JAN22/OTM/NIFTY26JAN25400PE_strategy.html", "View")</f>
        <v/>
      </c>
      <c r="N37" t="inlineStr"/>
      <c r="O37" t="inlineStr">
        <is>
          <t>NEUTRAL</t>
        </is>
      </c>
      <c r="P37" t="inlineStr">
        <is>
          <t>INCLUDED</t>
        </is>
      </c>
      <c r="Q37" t="n">
        <v>-6.5</v>
      </c>
      <c r="R37" t="inlineStr">
        <is>
          <t>Fixed Stop Loss</t>
        </is>
      </c>
      <c r="S37" t="n">
        <v>0.4522</v>
      </c>
      <c r="T37" t="inlineStr"/>
      <c r="U37" t="inlineStr">
        <is>
          <t>2026-01-22</t>
        </is>
      </c>
      <c r="V37" t="inlineStr">
        <is>
          <t>Above R1</t>
        </is>
      </c>
      <c r="W37" t="n">
        <v>25397.56</v>
      </c>
      <c r="X37" t="n">
        <v>25332.37</v>
      </c>
      <c r="Y37" t="n">
        <v>24951.22</v>
      </c>
      <c r="Z37" t="n">
        <v>25507.23</v>
      </c>
      <c r="AA37" t="n">
        <v>24744.93</v>
      </c>
      <c r="AB37" t="n">
        <v>25713.52</v>
      </c>
      <c r="AC37" t="n">
        <v>24570.07</v>
      </c>
      <c r="AD37" t="inlineStr"/>
    </row>
    <row r="38">
      <c r="A38">
        <f>HYPERLINK("../../data/FEB03_DYNAMIC/JAN28/OTM/NIFTY2620325300PE_strategy.csv", "NIFTY2620325300PE")</f>
        <v/>
      </c>
      <c r="B38" t="inlineStr">
        <is>
          <t>PE</t>
        </is>
      </c>
      <c r="C38" t="inlineStr">
        <is>
          <t>12:11:01</t>
        </is>
      </c>
      <c r="D38" t="inlineStr">
        <is>
          <t>12:52:00</t>
        </is>
      </c>
      <c r="E38" t="n">
        <v>190.05</v>
      </c>
      <c r="F38" t="n">
        <v>211.05</v>
      </c>
      <c r="G38" t="n">
        <v>92925.84</v>
      </c>
      <c r="H38" t="n">
        <v>102326.4</v>
      </c>
      <c r="I38" t="n">
        <v>71628.48</v>
      </c>
      <c r="J38" t="inlineStr">
        <is>
          <t>EXECUTED</t>
        </is>
      </c>
      <c r="K38" t="n">
        <v>15.52</v>
      </c>
      <c r="L38" t="n">
        <v>-6.34</v>
      </c>
      <c r="M38">
        <f>HYPERLINK("../../data/FEB03_DYNAMIC/JAN28/OTM/NIFTY2620325300PE_strategy.html", "View")</f>
        <v/>
      </c>
      <c r="N38" t="inlineStr"/>
      <c r="O38" t="inlineStr">
        <is>
          <t>BULLISH</t>
        </is>
      </c>
      <c r="P38" t="inlineStr">
        <is>
          <t>INCLUDED (HYBRID_NEUTRAL_ZONE)</t>
        </is>
      </c>
      <c r="Q38" t="n">
        <v>11.05</v>
      </c>
      <c r="R38" t="inlineStr">
        <is>
          <t>Dynamic Trailing MA (Fast/Slow MA)</t>
        </is>
      </c>
      <c r="S38" t="n">
        <v>0.4832</v>
      </c>
      <c r="T38" t="n">
        <v>0.677</v>
      </c>
      <c r="U38" t="inlineStr">
        <is>
          <t>2026-01-28</t>
        </is>
      </c>
      <c r="V38" t="inlineStr">
        <is>
          <t>Above R1</t>
        </is>
      </c>
      <c r="W38" t="n">
        <v>25314.71</v>
      </c>
      <c r="X38" t="n">
        <v>25303.85</v>
      </c>
      <c r="Y38" t="n">
        <v>24989.75</v>
      </c>
      <c r="Z38" t="n">
        <v>25432.3</v>
      </c>
      <c r="AA38" t="n">
        <v>24804.1</v>
      </c>
      <c r="AB38" t="n">
        <v>25617.95</v>
      </c>
      <c r="AC38" t="n">
        <v>24675.65</v>
      </c>
      <c r="AD38" t="inlineStr"/>
    </row>
    <row r="39">
      <c r="A39">
        <f>HYPERLINK("../../data/FEB03_DYNAMIC/JAN28/OTM/NIFTY2620325350CE_strategy.csv", "NIFTY2620325350CE")</f>
        <v/>
      </c>
      <c r="B39" t="inlineStr">
        <is>
          <t>CE</t>
        </is>
      </c>
      <c r="C39" t="inlineStr">
        <is>
          <t>11:49:01</t>
        </is>
      </c>
      <c r="D39" t="inlineStr">
        <is>
          <t>12:18:00</t>
        </is>
      </c>
      <c r="E39" t="n">
        <v>224.05</v>
      </c>
      <c r="F39" t="n">
        <v>209.49</v>
      </c>
      <c r="G39" t="n">
        <v>83679.28</v>
      </c>
      <c r="H39" t="n">
        <v>102326.4</v>
      </c>
      <c r="I39" t="n">
        <v>71628.48</v>
      </c>
      <c r="J39" t="inlineStr">
        <is>
          <t>EXECUTED</t>
        </is>
      </c>
      <c r="K39" t="n">
        <v>4.57</v>
      </c>
      <c r="L39" t="n">
        <v>-5.67</v>
      </c>
      <c r="M39">
        <f>HYPERLINK("../../data/FEB03_DYNAMIC/JAN28/OTM/NIFTY2620325350CE_strategy.html", "View")</f>
        <v/>
      </c>
      <c r="N39" t="inlineStr"/>
      <c r="O39" t="inlineStr">
        <is>
          <t>BULLISH</t>
        </is>
      </c>
      <c r="P39" t="inlineStr">
        <is>
          <t>INCLUDED (HYBRID_NEUTRAL_ZONE)</t>
        </is>
      </c>
      <c r="Q39" t="n">
        <v>-6.5</v>
      </c>
      <c r="R39" t="inlineStr">
        <is>
          <t>Fixed Stop Loss</t>
        </is>
      </c>
      <c r="S39" t="n">
        <v>0.2913</v>
      </c>
      <c r="T39" t="inlineStr"/>
      <c r="U39" t="inlineStr">
        <is>
          <t>2026-01-28</t>
        </is>
      </c>
      <c r="V39" t="inlineStr">
        <is>
          <t>Above R1</t>
        </is>
      </c>
      <c r="W39" t="n">
        <v>25316.11</v>
      </c>
      <c r="X39" t="n">
        <v>25303.85</v>
      </c>
      <c r="Y39" t="n">
        <v>24989.75</v>
      </c>
      <c r="Z39" t="n">
        <v>25432.3</v>
      </c>
      <c r="AA39" t="n">
        <v>24804.1</v>
      </c>
      <c r="AB39" t="n">
        <v>25617.95</v>
      </c>
      <c r="AC39" t="n">
        <v>24675.65</v>
      </c>
      <c r="AD39" t="inlineStr"/>
    </row>
    <row r="40">
      <c r="A40">
        <f>HYPERLINK("../../data/FEB03_DYNAMIC/JAN28/OTM/NIFTY2620325300PE_strategy.csv", "NIFTY2620325300PE")</f>
        <v/>
      </c>
      <c r="B40" t="inlineStr">
        <is>
          <t>PE</t>
        </is>
      </c>
      <c r="C40" t="inlineStr">
        <is>
          <t>11:37:01</t>
        </is>
      </c>
      <c r="D40" t="inlineStr">
        <is>
          <t>11:39:00</t>
        </is>
      </c>
      <c r="E40" t="n">
        <v>188.25</v>
      </c>
      <c r="F40" t="n">
        <v>201.43</v>
      </c>
      <c r="G40" t="n">
        <v>89496.55</v>
      </c>
      <c r="H40" t="n">
        <v>102326.4</v>
      </c>
      <c r="I40" t="n">
        <v>71628.48</v>
      </c>
      <c r="J40" t="inlineStr">
        <is>
          <t>EXECUTED</t>
        </is>
      </c>
      <c r="K40" t="n">
        <v>7.17</v>
      </c>
      <c r="L40" t="n">
        <v>-4.2</v>
      </c>
      <c r="M40">
        <f>HYPERLINK("../../data/FEB03_DYNAMIC/JAN28/OTM/NIFTY2620325300PE_strategy.html", "View")</f>
        <v/>
      </c>
      <c r="N40" t="inlineStr"/>
      <c r="O40" t="inlineStr">
        <is>
          <t>BULLISH</t>
        </is>
      </c>
      <c r="P40" t="inlineStr">
        <is>
          <t>INCLUDED (HYBRID_NEUTRAL_ZONE)</t>
        </is>
      </c>
      <c r="Q40" t="n">
        <v>7</v>
      </c>
      <c r="R40" t="inlineStr">
        <is>
          <t>Weak Signal Exit</t>
        </is>
      </c>
      <c r="S40" t="n">
        <v>0.4112</v>
      </c>
      <c r="T40" t="n">
        <v>0.5655</v>
      </c>
      <c r="U40" t="inlineStr">
        <is>
          <t>2026-01-28</t>
        </is>
      </c>
      <c r="V40" t="inlineStr">
        <is>
          <t>Above R1</t>
        </is>
      </c>
      <c r="W40" t="n">
        <v>25322.41</v>
      </c>
      <c r="X40" t="n">
        <v>25303.85</v>
      </c>
      <c r="Y40" t="n">
        <v>24989.75</v>
      </c>
      <c r="Z40" t="n">
        <v>25432.3</v>
      </c>
      <c r="AA40" t="n">
        <v>24804.1</v>
      </c>
      <c r="AB40" t="n">
        <v>25617.95</v>
      </c>
      <c r="AC40" t="n">
        <v>24675.65</v>
      </c>
      <c r="AD40" t="inlineStr"/>
    </row>
    <row r="41">
      <c r="A41">
        <f>HYPERLINK("../../data/FEB03_DYNAMIC/JAN28/OTM/NIFTY2620325300CE_strategy.csv", "NIFTY2620325300CE")</f>
        <v/>
      </c>
      <c r="B41" t="inlineStr">
        <is>
          <t>CE</t>
        </is>
      </c>
      <c r="C41" t="inlineStr">
        <is>
          <t>10:00:01</t>
        </is>
      </c>
      <c r="D41" t="inlineStr">
        <is>
          <t>10:02:00</t>
        </is>
      </c>
      <c r="E41" t="n">
        <v>258.9</v>
      </c>
      <c r="F41" t="n">
        <v>242.07</v>
      </c>
      <c r="G41" t="n">
        <v>93500</v>
      </c>
      <c r="H41" t="n">
        <v>100000</v>
      </c>
      <c r="I41" t="n">
        <v>70000</v>
      </c>
      <c r="J41" t="inlineStr">
        <is>
          <t>EXECUTED</t>
        </is>
      </c>
      <c r="K41" t="n">
        <v>0.04</v>
      </c>
      <c r="L41" t="n">
        <v>-9.23</v>
      </c>
      <c r="M41">
        <f>HYPERLINK("../../data/FEB03_DYNAMIC/JAN28/OTM/NIFTY2620325300CE_strategy.html", "View")</f>
        <v/>
      </c>
      <c r="N41" t="inlineStr"/>
      <c r="O41" t="inlineStr">
        <is>
          <t>NEUTRAL</t>
        </is>
      </c>
      <c r="P41" t="inlineStr">
        <is>
          <t>INCLUDED</t>
        </is>
      </c>
      <c r="Q41" t="n">
        <v>-6.5</v>
      </c>
      <c r="R41" t="inlineStr">
        <is>
          <t>Fixed Stop Loss</t>
        </is>
      </c>
      <c r="S41" t="n">
        <v>0.6214</v>
      </c>
      <c r="T41" t="inlineStr"/>
      <c r="U41" t="inlineStr">
        <is>
          <t>2026-01-28</t>
        </is>
      </c>
      <c r="V41" t="inlineStr">
        <is>
          <t>Above R1</t>
        </is>
      </c>
      <c r="W41" t="n">
        <v>25307.34</v>
      </c>
      <c r="X41" t="n">
        <v>25303.85</v>
      </c>
      <c r="Y41" t="n">
        <v>24989.75</v>
      </c>
      <c r="Z41" t="n">
        <v>25432.3</v>
      </c>
      <c r="AA41" t="n">
        <v>24804.1</v>
      </c>
      <c r="AB41" t="n">
        <v>25617.95</v>
      </c>
      <c r="AC41" t="n">
        <v>24675.65</v>
      </c>
      <c r="AD41" t="inlineStr"/>
    </row>
    <row r="42">
      <c r="A42">
        <f>HYPERLINK("../../data/FEB03_DYNAMIC/JAN28/OTM/NIFTY2620325300PE_strategy.csv", "NIFTY2620325300PE")</f>
        <v/>
      </c>
      <c r="B42" t="inlineStr">
        <is>
          <t>PE</t>
        </is>
      </c>
      <c r="C42" t="inlineStr">
        <is>
          <t>09:35:01</t>
        </is>
      </c>
      <c r="D42" t="inlineStr">
        <is>
          <t>10:28:00</t>
        </is>
      </c>
      <c r="E42" t="n">
        <v>215</v>
      </c>
      <c r="F42" t="n">
        <v>235.3</v>
      </c>
      <c r="G42" t="n">
        <v>102326.4</v>
      </c>
      <c r="H42" t="n">
        <v>102326.4</v>
      </c>
      <c r="I42" t="n">
        <v>71628.48</v>
      </c>
      <c r="J42" t="inlineStr">
        <is>
          <t>EXECUTED</t>
        </is>
      </c>
      <c r="K42" t="n">
        <v>20</v>
      </c>
      <c r="L42" t="n">
        <v>-11.09</v>
      </c>
      <c r="M42">
        <f>HYPERLINK("../../data/FEB03_DYNAMIC/JAN28/OTM/NIFTY2620325300PE_strategy.html", "View")</f>
        <v/>
      </c>
      <c r="N42" t="inlineStr"/>
      <c r="O42" t="inlineStr">
        <is>
          <t>BEARISH</t>
        </is>
      </c>
      <c r="P42" t="inlineStr">
        <is>
          <t>INCLUDED (HYBRID_NEUTRAL_ZONE)</t>
        </is>
      </c>
      <c r="Q42" t="n">
        <v>9.44</v>
      </c>
      <c r="R42" t="inlineStr">
        <is>
          <t>Dynamic Trailing MA (Fast/Slow MA)</t>
        </is>
      </c>
      <c r="S42" t="n">
        <v>0.5911999999999999</v>
      </c>
      <c r="T42" t="n">
        <v>0.6391</v>
      </c>
      <c r="U42" t="inlineStr">
        <is>
          <t>2026-01-28</t>
        </is>
      </c>
      <c r="V42" t="inlineStr">
        <is>
          <t>Above R1</t>
        </is>
      </c>
      <c r="W42" t="n">
        <v>25310.24</v>
      </c>
      <c r="X42" t="n">
        <v>25303.85</v>
      </c>
      <c r="Y42" t="n">
        <v>24989.75</v>
      </c>
      <c r="Z42" t="n">
        <v>25432.3</v>
      </c>
      <c r="AA42" t="n">
        <v>24804.1</v>
      </c>
      <c r="AB42" t="n">
        <v>25617.95</v>
      </c>
      <c r="AC42" t="n">
        <v>24675.65</v>
      </c>
      <c r="AD42" t="inlineStr"/>
    </row>
    <row r="43">
      <c r="A43">
        <f>HYPERLINK("../../data/FEB03_DYNAMIC/JAN29/OTM/NIFTY2620325450CE_strategy.csv", "NIFTY2620325450CE")</f>
        <v/>
      </c>
      <c r="B43" t="inlineStr">
        <is>
          <t>CE</t>
        </is>
      </c>
      <c r="C43" t="inlineStr">
        <is>
          <t>14:13:01</t>
        </is>
      </c>
      <c r="D43" t="inlineStr">
        <is>
          <t>14:20:00</t>
        </is>
      </c>
      <c r="E43" t="n">
        <v>186.65</v>
      </c>
      <c r="F43" t="n">
        <v>174.52</v>
      </c>
      <c r="G43" t="n">
        <v>68645.45</v>
      </c>
      <c r="H43" t="n">
        <v>100000</v>
      </c>
      <c r="I43" t="n">
        <v>70000</v>
      </c>
      <c r="J43" t="inlineStr">
        <is>
          <t>EXECUTED</t>
        </is>
      </c>
      <c r="K43" t="n">
        <v>1.82</v>
      </c>
      <c r="L43" t="n">
        <v>-9.4</v>
      </c>
      <c r="M43">
        <f>HYPERLINK("../../data/FEB03_DYNAMIC/JAN29/OTM/NIFTY2620325450CE_strategy.html", "View")</f>
        <v/>
      </c>
      <c r="N43" t="inlineStr"/>
      <c r="O43" t="inlineStr">
        <is>
          <t>BULLISH</t>
        </is>
      </c>
      <c r="P43" t="inlineStr">
        <is>
          <t>INCLUDED (HYBRID_NEUTRAL_ZONE)</t>
        </is>
      </c>
      <c r="Q43" t="n">
        <v>-6.5</v>
      </c>
      <c r="R43" t="inlineStr">
        <is>
          <t>Fixed Stop Loss</t>
        </is>
      </c>
      <c r="S43" t="n">
        <v>0.3819</v>
      </c>
      <c r="T43" t="inlineStr"/>
      <c r="U43" t="inlineStr">
        <is>
          <t>2026-01-29</t>
        </is>
      </c>
      <c r="V43" t="inlineStr">
        <is>
          <t>Above R1</t>
        </is>
      </c>
      <c r="W43" t="n">
        <v>25416.8</v>
      </c>
      <c r="X43" t="n">
        <v>25414.02</v>
      </c>
      <c r="Y43" t="n">
        <v>25229.57</v>
      </c>
      <c r="Z43" t="n">
        <v>25485.28</v>
      </c>
      <c r="AA43" t="n">
        <v>25116.38</v>
      </c>
      <c r="AB43" t="n">
        <v>25598.47</v>
      </c>
      <c r="AC43" t="n">
        <v>25045.12</v>
      </c>
      <c r="AD43" t="inlineStr"/>
    </row>
    <row r="44">
      <c r="A44">
        <f>HYPERLINK("../../data/FEB03_DYNAMIC/FEB01/OTM/NIFTY2620325400PE_strategy.csv", "NIFTY2620325400PE")</f>
        <v/>
      </c>
      <c r="B44" t="inlineStr">
        <is>
          <t>PE</t>
        </is>
      </c>
      <c r="C44" t="inlineStr">
        <is>
          <t>11:16:01</t>
        </is>
      </c>
      <c r="D44" t="inlineStr">
        <is>
          <t>11:20:00</t>
        </is>
      </c>
      <c r="E44" t="n">
        <v>200.25</v>
      </c>
      <c r="F44" t="n">
        <v>214.27</v>
      </c>
      <c r="G44" t="n">
        <v>88897.28</v>
      </c>
      <c r="H44" t="n">
        <v>100000</v>
      </c>
      <c r="I44" t="n">
        <v>70000</v>
      </c>
      <c r="J44" t="inlineStr">
        <is>
          <t>EXECUTED</t>
        </is>
      </c>
      <c r="K44" t="n">
        <v>10.86</v>
      </c>
      <c r="L44" t="n">
        <v>-11.61</v>
      </c>
      <c r="M44">
        <f>HYPERLINK("../../data/FEB03_DYNAMIC/FEB01/OTM/NIFTY2620325400PE_strategy.html", "View")</f>
        <v/>
      </c>
      <c r="N44" t="inlineStr"/>
      <c r="O44" t="inlineStr">
        <is>
          <t>NEUTRAL</t>
        </is>
      </c>
      <c r="P44" t="inlineStr">
        <is>
          <t>INCLUDED</t>
        </is>
      </c>
      <c r="Q44" t="n">
        <v>7</v>
      </c>
      <c r="R44" t="inlineStr">
        <is>
          <t>Weak Signal Exit</t>
        </is>
      </c>
      <c r="S44" t="n">
        <v>0.27</v>
      </c>
      <c r="T44" t="n">
        <v>0.4634</v>
      </c>
      <c r="U44" t="inlineStr">
        <is>
          <t>2026-02-01</t>
        </is>
      </c>
      <c r="V44" t="inlineStr">
        <is>
          <t>Above R1</t>
        </is>
      </c>
      <c r="W44" t="n">
        <v>25398.55</v>
      </c>
      <c r="X44" t="n">
        <v>25389.68</v>
      </c>
      <c r="Y44" t="n">
        <v>25232.63</v>
      </c>
      <c r="Z44" t="n">
        <v>25458.72</v>
      </c>
      <c r="AA44" t="n">
        <v>25144.62</v>
      </c>
      <c r="AB44" t="n">
        <v>25546.73</v>
      </c>
      <c r="AC44" t="n">
        <v>25075.58</v>
      </c>
      <c r="AD44" t="inlineStr"/>
    </row>
    <row r="45">
      <c r="A45">
        <f>HYPERLINK("../../data/FEB03_DYNAMIC/FEB01/OTM/NIFTY2620325400CE_strategy.csv", "NIFTY2620325400CE")</f>
        <v/>
      </c>
      <c r="B45" t="inlineStr">
        <is>
          <t>CE</t>
        </is>
      </c>
      <c r="C45" t="inlineStr">
        <is>
          <t>11:08:01</t>
        </is>
      </c>
      <c r="D45" t="inlineStr">
        <is>
          <t>11:20:00</t>
        </is>
      </c>
      <c r="E45" t="n">
        <v>195</v>
      </c>
      <c r="F45" t="n">
        <v>188.32</v>
      </c>
      <c r="G45" t="n">
        <v>83081.57000000001</v>
      </c>
      <c r="H45" t="n">
        <v>100000</v>
      </c>
      <c r="I45" t="n">
        <v>70000</v>
      </c>
      <c r="J45" t="inlineStr">
        <is>
          <t>EXECUTED</t>
        </is>
      </c>
      <c r="K45" t="n">
        <v>17.95</v>
      </c>
      <c r="L45" t="n">
        <v>-9.77</v>
      </c>
      <c r="M45">
        <f>HYPERLINK("../../data/FEB03_DYNAMIC/FEB01/OTM/NIFTY2620325400CE_strategy.html", "View")</f>
        <v/>
      </c>
      <c r="N45" t="inlineStr"/>
      <c r="O45" t="inlineStr">
        <is>
          <t>NEUTRAL</t>
        </is>
      </c>
      <c r="P45" t="inlineStr">
        <is>
          <t>INCLUDED</t>
        </is>
      </c>
      <c r="Q45" t="n">
        <v>-3.43</v>
      </c>
      <c r="R45" t="inlineStr">
        <is>
          <t>SuperTrend Stop Loss Exit</t>
        </is>
      </c>
      <c r="S45" t="n">
        <v>0.6179</v>
      </c>
      <c r="T45" t="n">
        <v>0.6922</v>
      </c>
      <c r="U45" t="inlineStr">
        <is>
          <t>2026-02-01</t>
        </is>
      </c>
      <c r="V45" t="inlineStr">
        <is>
          <t>Above R1</t>
        </is>
      </c>
      <c r="W45" t="n">
        <v>25393.99</v>
      </c>
      <c r="X45" t="n">
        <v>25389.68</v>
      </c>
      <c r="Y45" t="n">
        <v>25232.63</v>
      </c>
      <c r="Z45" t="n">
        <v>25458.72</v>
      </c>
      <c r="AA45" t="n">
        <v>25144.62</v>
      </c>
      <c r="AB45" t="n">
        <v>25546.73</v>
      </c>
      <c r="AC45" t="n">
        <v>25075.58</v>
      </c>
      <c r="AD45" t="inlineStr"/>
    </row>
    <row r="46">
      <c r="A46">
        <f>HYPERLINK("../../data/FEB10_DYNAMIC/FEB09/OTM/NIFTY2621025850CE_strategy.csv", "NIFTY2621025850CE")</f>
        <v/>
      </c>
      <c r="B46" t="inlineStr">
        <is>
          <t>CE</t>
        </is>
      </c>
      <c r="C46" t="inlineStr">
        <is>
          <t>13:00:01</t>
        </is>
      </c>
      <c r="D46" t="inlineStr">
        <is>
          <t>13:24:00</t>
        </is>
      </c>
      <c r="E46" t="n">
        <v>68.40000000000001</v>
      </c>
      <c r="F46" t="n">
        <v>70.8</v>
      </c>
      <c r="G46" t="n">
        <v>118508.6</v>
      </c>
      <c r="H46" t="n">
        <v>118508.6</v>
      </c>
      <c r="I46" t="n">
        <v>82956.02</v>
      </c>
      <c r="J46" t="inlineStr">
        <is>
          <t>EXECUTED</t>
        </is>
      </c>
      <c r="K46" t="n">
        <v>15.94</v>
      </c>
      <c r="L46" t="n">
        <v>-9.279999999999999</v>
      </c>
      <c r="M46">
        <f>HYPERLINK("../../data/FEB10_DYNAMIC/FEB09/OTM/NIFTY2621025850CE_strategy.html", "View")</f>
        <v/>
      </c>
      <c r="N46" t="inlineStr"/>
      <c r="O46" t="inlineStr">
        <is>
          <t>BEARISH</t>
        </is>
      </c>
      <c r="P46" t="inlineStr">
        <is>
          <t>INCLUDED (HYBRID_NEUTRAL_ZONE)</t>
        </is>
      </c>
      <c r="Q46" t="n">
        <v>3.51</v>
      </c>
      <c r="R46" t="inlineStr">
        <is>
          <t>SuperTrend Stop Loss Exit</t>
        </is>
      </c>
      <c r="S46" t="n">
        <v>0.4358</v>
      </c>
      <c r="T46" t="n">
        <v>0.8826000000000001</v>
      </c>
      <c r="U46" t="inlineStr">
        <is>
          <t>2026-02-09</t>
        </is>
      </c>
      <c r="V46" t="inlineStr">
        <is>
          <t>Above R1</t>
        </is>
      </c>
      <c r="W46" t="n">
        <v>25839.22</v>
      </c>
      <c r="X46" t="n">
        <v>25767.8</v>
      </c>
      <c r="Y46" t="n">
        <v>25555.75</v>
      </c>
      <c r="Z46" t="n">
        <v>25841.9</v>
      </c>
      <c r="AA46" t="n">
        <v>25417.8</v>
      </c>
      <c r="AB46" t="n">
        <v>25979.85</v>
      </c>
      <c r="AC46" t="n">
        <v>25343.7</v>
      </c>
      <c r="AD46" t="inlineStr"/>
    </row>
    <row r="47">
      <c r="A47">
        <f>HYPERLINK("../../data/FEB10_DYNAMIC/FEB09/OTM/NIFTY2621025850CE_strategy.csv", "NIFTY2621025850CE")</f>
        <v/>
      </c>
      <c r="B47" t="inlineStr">
        <is>
          <t>CE</t>
        </is>
      </c>
      <c r="C47" t="inlineStr">
        <is>
          <t>10:19:01</t>
        </is>
      </c>
      <c r="D47" t="inlineStr">
        <is>
          <t>10:21:00</t>
        </is>
      </c>
      <c r="E47" t="n">
        <v>70.15000000000001</v>
      </c>
      <c r="F47" t="n">
        <v>75.06</v>
      </c>
      <c r="G47" t="n">
        <v>114490</v>
      </c>
      <c r="H47" t="n">
        <v>114490</v>
      </c>
      <c r="I47" t="n">
        <v>80143</v>
      </c>
      <c r="J47" t="inlineStr">
        <is>
          <t>EXECUTED</t>
        </is>
      </c>
      <c r="K47" t="n">
        <v>7.13</v>
      </c>
      <c r="L47" t="n">
        <v>-11.05</v>
      </c>
      <c r="M47">
        <f>HYPERLINK("../../data/FEB10_DYNAMIC/FEB09/OTM/NIFTY2621025850CE_strategy.html", "View")</f>
        <v/>
      </c>
      <c r="N47" t="inlineStr"/>
      <c r="O47" t="inlineStr">
        <is>
          <t>BULLISH</t>
        </is>
      </c>
      <c r="P47" t="inlineStr">
        <is>
          <t>INCLUDED (HYBRID_NEUTRAL_ZONE)</t>
        </is>
      </c>
      <c r="Q47" t="n">
        <v>7</v>
      </c>
      <c r="R47" t="inlineStr">
        <is>
          <t>Weak Signal Exit</t>
        </is>
      </c>
      <c r="S47" t="n">
        <v>0.3377</v>
      </c>
      <c r="T47" t="n">
        <v>0.5128</v>
      </c>
      <c r="U47" t="inlineStr">
        <is>
          <t>2026-02-09</t>
        </is>
      </c>
      <c r="V47" t="inlineStr">
        <is>
          <t>Above R1</t>
        </is>
      </c>
      <c r="W47" t="n">
        <v>25815.11</v>
      </c>
      <c r="X47" t="n">
        <v>25767.8</v>
      </c>
      <c r="Y47" t="n">
        <v>25555.75</v>
      </c>
      <c r="Z47" t="n">
        <v>25841.9</v>
      </c>
      <c r="AA47" t="n">
        <v>25417.8</v>
      </c>
      <c r="AB47" t="n">
        <v>25979.85</v>
      </c>
      <c r="AC47" t="n">
        <v>25343.7</v>
      </c>
      <c r="AD47" t="inlineStr"/>
    </row>
    <row r="48">
      <c r="A48">
        <f>HYPERLINK("../../data/FEB10_DYNAMIC/FEB09/OTM/NIFTY2621025800PE_strategy.csv", "NIFTY2621025800PE")</f>
        <v/>
      </c>
      <c r="B48" t="inlineStr">
        <is>
          <t>PE</t>
        </is>
      </c>
      <c r="C48" t="inlineStr">
        <is>
          <t>10:08:01</t>
        </is>
      </c>
      <c r="D48" t="inlineStr">
        <is>
          <t>10:09:00</t>
        </is>
      </c>
      <c r="E48" t="n">
        <v>67.3</v>
      </c>
      <c r="F48" t="n">
        <v>72.01000000000001</v>
      </c>
      <c r="G48" t="n">
        <v>107000</v>
      </c>
      <c r="H48" t="n">
        <v>107000</v>
      </c>
      <c r="I48" t="n">
        <v>74900</v>
      </c>
      <c r="J48" t="inlineStr">
        <is>
          <t>EXECUTED</t>
        </is>
      </c>
      <c r="K48" t="n">
        <v>7.73</v>
      </c>
      <c r="L48" t="n">
        <v>-10.85</v>
      </c>
      <c r="M48">
        <f>HYPERLINK("../../data/FEB10_DYNAMIC/FEB09/OTM/NIFTY2621025800PE_strategy.html", "View")</f>
        <v/>
      </c>
      <c r="N48" t="inlineStr"/>
      <c r="O48" t="inlineStr">
        <is>
          <t>BULLISH</t>
        </is>
      </c>
      <c r="P48" t="inlineStr">
        <is>
          <t>INCLUDED (HYBRID_NEUTRAL_ZONE)</t>
        </is>
      </c>
      <c r="Q48" t="n">
        <v>7</v>
      </c>
      <c r="R48" t="inlineStr">
        <is>
          <t>Weak Signal Exit</t>
        </is>
      </c>
      <c r="S48" t="n">
        <v>0.5114</v>
      </c>
      <c r="T48" t="n">
        <v>0.5363</v>
      </c>
      <c r="U48" t="inlineStr">
        <is>
          <t>2026-02-09</t>
        </is>
      </c>
      <c r="V48" t="inlineStr">
        <is>
          <t>Above R1</t>
        </is>
      </c>
      <c r="W48" t="n">
        <v>25812.6</v>
      </c>
      <c r="X48" t="n">
        <v>25767.8</v>
      </c>
      <c r="Y48" t="n">
        <v>25555.75</v>
      </c>
      <c r="Z48" t="n">
        <v>25841.9</v>
      </c>
      <c r="AA48" t="n">
        <v>25417.8</v>
      </c>
      <c r="AB48" t="n">
        <v>25979.85</v>
      </c>
      <c r="AC48" t="n">
        <v>25343.7</v>
      </c>
      <c r="AD4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2026-03-07T12:16:14Z</dcterms:created>
  <dcterms:modified xsi:type="dcterms:W3CDTF">2026-03-07T12:16:14Z</dcterms:modified>
</cp:coreProperties>
</file>