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ween R1 and S1" sheetId="1" state="visible" r:id="rId1"/>
    <sheet name="Below S3" sheetId="2" state="visible" r:id="rId2"/>
    <sheet name="Between S2 and S3" sheetId="3" state="visible" r:id="rId3"/>
    <sheet name="Between R2 and R3" sheetId="4" state="visible" r:id="rId4"/>
    <sheet name="Above R3" sheetId="5" state="visible" r:id="rId5"/>
    <sheet name="Between S1 and S2" sheetId="6" state="visible" r:id="rId6"/>
    <sheet name="Between R1 and R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option_type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running_capital</t>
        </is>
      </c>
      <c r="H1" s="1" t="inlineStr">
        <is>
          <t>high_water_mark</t>
        </is>
      </c>
      <c r="I1" s="1" t="inlineStr">
        <is>
          <t>drawdown_limit</t>
        </is>
      </c>
      <c r="J1" s="1" t="inlineStr">
        <is>
          <t>trade_status</t>
        </is>
      </c>
      <c r="K1" s="1" t="inlineStr">
        <is>
          <t>high</t>
        </is>
      </c>
      <c r="L1" s="1" t="inlineStr">
        <is>
          <t>swing_low</t>
        </is>
      </c>
      <c r="M1" s="1" t="inlineStr">
        <is>
          <t>symbol_html</t>
        </is>
      </c>
      <c r="N1" s="1" t="inlineStr">
        <is>
          <t>realized_pnl_pct</t>
        </is>
      </c>
      <c r="O1" s="1" t="inlineStr">
        <is>
          <t>trade_status_reason</t>
        </is>
      </c>
      <c r="P1" s="1" t="inlineStr">
        <is>
          <t>market_sentiment</t>
        </is>
      </c>
      <c r="Q1" s="1" t="inlineStr">
        <is>
          <t>filter_status</t>
        </is>
      </c>
      <c r="R1" s="1" t="inlineStr">
        <is>
          <t>sentiment_pnl</t>
        </is>
      </c>
      <c r="S1" s="1" t="inlineStr">
        <is>
          <t>exit_reason</t>
        </is>
      </c>
      <c r="T1" s="1" t="inlineStr">
        <is>
          <t>demarker</t>
        </is>
      </c>
      <c r="U1" s="1" t="inlineStr">
        <is>
          <t>demarker_at_7pct</t>
        </is>
      </c>
      <c r="V1" s="1" t="inlineStr">
        <is>
          <t>date</t>
        </is>
      </c>
      <c r="W1" s="1" t="inlineStr">
        <is>
          <t>zone</t>
        </is>
      </c>
      <c r="X1" s="1" t="inlineStr">
        <is>
          <t>nifty_at_entry</t>
        </is>
      </c>
      <c r="Y1" s="1" t="inlineStr">
        <is>
          <t>R1</t>
        </is>
      </c>
      <c r="Z1" s="1" t="inlineStr">
        <is>
          <t>S1</t>
        </is>
      </c>
      <c r="AA1" s="1" t="inlineStr">
        <is>
          <t>R2</t>
        </is>
      </c>
      <c r="AB1" s="1" t="inlineStr">
        <is>
          <t>S2</t>
        </is>
      </c>
      <c r="AC1" s="1" t="inlineStr">
        <is>
          <t>R3</t>
        </is>
      </c>
      <c r="AD1" s="1" t="inlineStr">
        <is>
          <t>S3</t>
        </is>
      </c>
    </row>
    <row r="2">
      <c r="A2">
        <f>HYPERLINK("../../data_st50/DEC02_DYNAMIC/NOV27/OTM/NIFTY25D0226200CE_strategy.csv", "NIFTY25D0226200CE")</f>
        <v/>
      </c>
      <c r="B2" t="inlineStr">
        <is>
          <t>CE</t>
        </is>
      </c>
      <c r="C2" t="inlineStr">
        <is>
          <t>13:35:01</t>
        </is>
      </c>
      <c r="D2" t="inlineStr">
        <is>
          <t>13:39:00</t>
        </is>
      </c>
      <c r="E2" t="n">
        <v>110.55</v>
      </c>
      <c r="F2" t="n">
        <v>100.6</v>
      </c>
      <c r="G2" t="n">
        <v>80825.05</v>
      </c>
      <c r="H2" t="n">
        <v>100000</v>
      </c>
      <c r="I2" t="n">
        <v>70000</v>
      </c>
      <c r="J2" t="inlineStr">
        <is>
          <t>EXECUTED</t>
        </is>
      </c>
      <c r="K2" t="n">
        <v>0</v>
      </c>
      <c r="L2" t="n">
        <v>-9.359999999999999</v>
      </c>
      <c r="M2">
        <f>HYPERLINK("../../data_st50/DEC02_DYNAMIC/NOV27/OTM/NIFTY25D0226200CE_strategy.html", "View")</f>
        <v/>
      </c>
      <c r="N2" t="inlineStr"/>
      <c r="O2" t="inlineStr"/>
      <c r="P2" t="inlineStr">
        <is>
          <t>BEARISH</t>
        </is>
      </c>
      <c r="Q2" t="inlineStr">
        <is>
          <t>INCLUDED (HYBRID_NEUTRAL_ZONE)</t>
        </is>
      </c>
      <c r="R2" t="n">
        <v>-9</v>
      </c>
      <c r="S2" t="inlineStr">
        <is>
          <t>Fixed Stop Loss</t>
        </is>
      </c>
      <c r="T2" t="n">
        <v>0.4019</v>
      </c>
      <c r="U2" t="inlineStr"/>
      <c r="V2" t="inlineStr">
        <is>
          <t>2025-11-27</t>
        </is>
      </c>
      <c r="W2" t="inlineStr">
        <is>
          <t>Between R1 and S1</t>
        </is>
      </c>
      <c r="X2" t="n">
        <v>26161.05</v>
      </c>
      <c r="Y2" t="n">
        <v>26332.65</v>
      </c>
      <c r="Z2" t="n">
        <v>25960.45</v>
      </c>
      <c r="AA2" t="n">
        <v>26460</v>
      </c>
      <c r="AB2" t="n">
        <v>25715.6</v>
      </c>
      <c r="AC2" t="n">
        <v>26704.85</v>
      </c>
      <c r="AD2" t="n">
        <v>25588.25</v>
      </c>
    </row>
    <row r="3">
      <c r="A3">
        <f>HYPERLINK("../../data_st50/DEC02_DYNAMIC/NOV27/OTM/NIFTY25D0226250PE_strategy.csv", "NIFTY25D0226250PE")</f>
        <v/>
      </c>
      <c r="B3" t="inlineStr">
        <is>
          <t>PE</t>
        </is>
      </c>
      <c r="C3" t="inlineStr">
        <is>
          <t>12:54:01</t>
        </is>
      </c>
      <c r="D3" t="inlineStr">
        <is>
          <t>13:41:00</t>
        </is>
      </c>
      <c r="E3" t="n">
        <v>105.45</v>
      </c>
      <c r="F3" t="n">
        <v>154.45</v>
      </c>
      <c r="G3" t="n">
        <v>118384.45</v>
      </c>
      <c r="H3" t="n">
        <v>118384.45</v>
      </c>
      <c r="I3" t="n">
        <v>82869.11</v>
      </c>
      <c r="J3" t="inlineStr">
        <is>
          <t>EXECUTED</t>
        </is>
      </c>
      <c r="K3" t="n">
        <v>55.52</v>
      </c>
      <c r="L3" t="n">
        <v>-10.38</v>
      </c>
      <c r="M3">
        <f>HYPERLINK("../../data_st50/DEC02_DYNAMIC/NOV27/OTM/NIFTY25D0226250PE_strategy.html", "View")</f>
        <v/>
      </c>
      <c r="N3" t="inlineStr"/>
      <c r="O3" t="inlineStr"/>
      <c r="P3" t="inlineStr">
        <is>
          <t>NEUTRAL</t>
        </is>
      </c>
      <c r="Q3" t="inlineStr">
        <is>
          <t>INCLUDED</t>
        </is>
      </c>
      <c r="R3" t="n">
        <v>46.47</v>
      </c>
      <c r="S3" t="inlineStr">
        <is>
          <t>Dynamic Trailing MA (Fast/Slow MA)</t>
        </is>
      </c>
      <c r="T3" t="n">
        <v>0.2574</v>
      </c>
      <c r="U3" t="n">
        <v>0.6273</v>
      </c>
      <c r="V3" t="inlineStr">
        <is>
          <t>2025-11-27</t>
        </is>
      </c>
      <c r="W3" t="inlineStr">
        <is>
          <t>Between R1 and S1</t>
        </is>
      </c>
      <c r="X3" t="n">
        <v>26240.9</v>
      </c>
      <c r="Y3" t="n">
        <v>26332.65</v>
      </c>
      <c r="Z3" t="n">
        <v>25960.45</v>
      </c>
      <c r="AA3" t="n">
        <v>26460</v>
      </c>
      <c r="AB3" t="n">
        <v>25715.6</v>
      </c>
      <c r="AC3" t="n">
        <v>26704.85</v>
      </c>
      <c r="AD3" t="n">
        <v>25588.25</v>
      </c>
    </row>
    <row r="4">
      <c r="A4">
        <f>HYPERLINK("../../data_st50/DEC02_DYNAMIC/NOV27/OTM/NIFTY25D0226250CE_strategy.csv", "NIFTY25D0226250CE")</f>
        <v/>
      </c>
      <c r="B4" t="inlineStr">
        <is>
          <t>CE</t>
        </is>
      </c>
      <c r="C4" t="inlineStr">
        <is>
          <t>12:30:01</t>
        </is>
      </c>
      <c r="D4" t="inlineStr">
        <is>
          <t>13:00:00</t>
        </is>
      </c>
      <c r="E4" t="n">
        <v>112.35</v>
      </c>
      <c r="F4" t="n">
        <v>118.02</v>
      </c>
      <c r="G4" t="n">
        <v>88818.74000000001</v>
      </c>
      <c r="H4" t="n">
        <v>100000</v>
      </c>
      <c r="I4" t="n">
        <v>70000</v>
      </c>
      <c r="J4" t="inlineStr">
        <is>
          <t>EXECUTED</t>
        </is>
      </c>
      <c r="K4" t="n">
        <v>18.2</v>
      </c>
      <c r="L4" t="n">
        <v>-6.99</v>
      </c>
      <c r="M4">
        <f>HYPERLINK("../../data_st50/DEC02_DYNAMIC/NOV27/OTM/NIFTY25D0226250CE_strategy.html", "View")</f>
        <v/>
      </c>
      <c r="N4" t="inlineStr"/>
      <c r="O4" t="inlineStr"/>
      <c r="P4" t="inlineStr">
        <is>
          <t>NEUTRAL</t>
        </is>
      </c>
      <c r="Q4" t="inlineStr">
        <is>
          <t>INCLUDED</t>
        </is>
      </c>
      <c r="R4" t="n">
        <v>5.05</v>
      </c>
      <c r="S4" t="inlineStr">
        <is>
          <t>SuperTrend Stop Loss Exit</t>
        </is>
      </c>
      <c r="T4" t="n">
        <v>0.2017</v>
      </c>
      <c r="U4" t="n">
        <v>0.7171</v>
      </c>
      <c r="V4" t="inlineStr">
        <is>
          <t>2025-11-27</t>
        </is>
      </c>
      <c r="W4" t="inlineStr">
        <is>
          <t>Between R1 and S1</t>
        </is>
      </c>
      <c r="X4" t="n">
        <v>26226.55</v>
      </c>
      <c r="Y4" t="n">
        <v>26332.65</v>
      </c>
      <c r="Z4" t="n">
        <v>25960.45</v>
      </c>
      <c r="AA4" t="n">
        <v>26460</v>
      </c>
      <c r="AB4" t="n">
        <v>25715.6</v>
      </c>
      <c r="AC4" t="n">
        <v>26704.85</v>
      </c>
      <c r="AD4" t="n">
        <v>25588.25</v>
      </c>
    </row>
    <row r="5">
      <c r="A5">
        <f>HYPERLINK("../../data_st50/DEC02_DYNAMIC/NOV27/OTM/NIFTY25D0226300CE_strategy.csv", "NIFTY25D0226300CE")</f>
        <v/>
      </c>
      <c r="B5" t="inlineStr">
        <is>
          <t>CE</t>
        </is>
      </c>
      <c r="C5" t="inlineStr">
        <is>
          <t>11:36:01</t>
        </is>
      </c>
      <c r="D5" t="inlineStr">
        <is>
          <t>11:47:00</t>
        </is>
      </c>
      <c r="E5" t="n">
        <v>112.3</v>
      </c>
      <c r="F5" t="n">
        <v>102.19</v>
      </c>
      <c r="G5" t="n">
        <v>84549.00999999999</v>
      </c>
      <c r="H5" t="n">
        <v>100000</v>
      </c>
      <c r="I5" t="n">
        <v>70000</v>
      </c>
      <c r="J5" t="inlineStr">
        <is>
          <t>EXECUTED</t>
        </is>
      </c>
      <c r="K5" t="n">
        <v>1.51</v>
      </c>
      <c r="L5" t="n">
        <v>-7.03</v>
      </c>
      <c r="M5">
        <f>HYPERLINK("../../data_st50/DEC02_DYNAMIC/NOV27/OTM/NIFTY25D0226300CE_strategy.html", "View")</f>
        <v/>
      </c>
      <c r="N5" t="inlineStr"/>
      <c r="O5" t="inlineStr"/>
      <c r="P5" t="inlineStr">
        <is>
          <t>BEARISH</t>
        </is>
      </c>
      <c r="Q5" t="inlineStr">
        <is>
          <t>INCLUDED (HYBRID_NEUTRAL_ZONE)</t>
        </is>
      </c>
      <c r="R5" t="n">
        <v>-9</v>
      </c>
      <c r="S5" t="inlineStr">
        <is>
          <t>Fixed Stop Loss</t>
        </is>
      </c>
      <c r="T5" t="n">
        <v>0.3709</v>
      </c>
      <c r="U5" t="inlineStr"/>
      <c r="V5" t="inlineStr">
        <is>
          <t>2025-11-27</t>
        </is>
      </c>
      <c r="W5" t="inlineStr">
        <is>
          <t>Between R1 and S1</t>
        </is>
      </c>
      <c r="X5" t="n">
        <v>26272.55</v>
      </c>
      <c r="Y5" t="n">
        <v>26332.65</v>
      </c>
      <c r="Z5" t="n">
        <v>25960.45</v>
      </c>
      <c r="AA5" t="n">
        <v>26460</v>
      </c>
      <c r="AB5" t="n">
        <v>25715.6</v>
      </c>
      <c r="AC5" t="n">
        <v>26704.85</v>
      </c>
      <c r="AD5" t="n">
        <v>25588.25</v>
      </c>
    </row>
    <row r="6">
      <c r="A6">
        <f>HYPERLINK("../../data_st50/DEC02_DYNAMIC/NOV27/OTM/NIFTY25D0226300PE_strategy.csv", "NIFTY25D0226300PE")</f>
        <v/>
      </c>
      <c r="B6" t="inlineStr">
        <is>
          <t>PE</t>
        </is>
      </c>
      <c r="C6" t="inlineStr">
        <is>
          <t>10:54:01</t>
        </is>
      </c>
      <c r="D6" t="inlineStr">
        <is>
          <t>11:12:00</t>
        </is>
      </c>
      <c r="E6" t="n">
        <v>102.55</v>
      </c>
      <c r="F6" t="n">
        <v>104.7</v>
      </c>
      <c r="G6" t="n">
        <v>92911</v>
      </c>
      <c r="H6" t="n">
        <v>100000</v>
      </c>
      <c r="I6" t="n">
        <v>70000</v>
      </c>
      <c r="J6" t="inlineStr">
        <is>
          <t>EXECUTED</t>
        </is>
      </c>
      <c r="K6" t="n">
        <v>7.75</v>
      </c>
      <c r="L6" t="n">
        <v>-6.39</v>
      </c>
      <c r="M6">
        <f>HYPERLINK("../../data_st50/DEC02_DYNAMIC/NOV27/OTM/NIFTY25D0226300PE_strategy.html", "View")</f>
        <v/>
      </c>
      <c r="N6" t="inlineStr"/>
      <c r="O6" t="inlineStr"/>
      <c r="P6" t="inlineStr">
        <is>
          <t>NEUTRAL</t>
        </is>
      </c>
      <c r="Q6" t="inlineStr">
        <is>
          <t>INCLUDED</t>
        </is>
      </c>
      <c r="R6" t="n">
        <v>2.1</v>
      </c>
      <c r="S6" t="inlineStr">
        <is>
          <t>Dynamic Trailing MA (Fast/Slow MA)</t>
        </is>
      </c>
      <c r="T6" t="n">
        <v>0.4088</v>
      </c>
      <c r="U6" t="n">
        <v>0.4802</v>
      </c>
      <c r="V6" t="inlineStr">
        <is>
          <t>2025-11-27</t>
        </is>
      </c>
      <c r="W6" t="inlineStr">
        <is>
          <t>Between R1 and S1</t>
        </is>
      </c>
      <c r="X6" t="n">
        <v>26291.3</v>
      </c>
      <c r="Y6" t="n">
        <v>26332.65</v>
      </c>
      <c r="Z6" t="n">
        <v>25960.45</v>
      </c>
      <c r="AA6" t="n">
        <v>26460</v>
      </c>
      <c r="AB6" t="n">
        <v>25715.6</v>
      </c>
      <c r="AC6" t="n">
        <v>26704.85</v>
      </c>
      <c r="AD6" t="n">
        <v>25588.25</v>
      </c>
    </row>
    <row r="7">
      <c r="A7">
        <f>HYPERLINK("../../data_st50/DEC02_DYNAMIC/NOV27/OTM/NIFTY25D0226250PE_strategy.csv", "NIFTY25D0226250PE")</f>
        <v/>
      </c>
      <c r="B7" t="inlineStr">
        <is>
          <t>PE</t>
        </is>
      </c>
      <c r="C7" t="inlineStr">
        <is>
          <t>10:11:01</t>
        </is>
      </c>
      <c r="D7" t="inlineStr">
        <is>
          <t>10:46:00</t>
        </is>
      </c>
      <c r="E7" t="n">
        <v>92.95</v>
      </c>
      <c r="F7" t="n">
        <v>84.58</v>
      </c>
      <c r="G7" t="n">
        <v>91000</v>
      </c>
      <c r="H7" t="n">
        <v>100000</v>
      </c>
      <c r="I7" t="n">
        <v>70000</v>
      </c>
      <c r="J7" t="inlineStr">
        <is>
          <t>EXECUTED</t>
        </is>
      </c>
      <c r="K7" t="n">
        <v>5.16</v>
      </c>
      <c r="L7" t="n">
        <v>-10.81</v>
      </c>
      <c r="M7">
        <f>HYPERLINK("../../data_st50/DEC02_DYNAMIC/NOV27/OTM/NIFTY25D0226250PE_strategy.html", "View")</f>
        <v/>
      </c>
      <c r="N7" t="inlineStr"/>
      <c r="O7" t="inlineStr"/>
      <c r="P7" t="inlineStr">
        <is>
          <t>BEARISH</t>
        </is>
      </c>
      <c r="Q7" t="inlineStr">
        <is>
          <t>INCLUDED (HYBRID_NEUTRAL_ZONE)</t>
        </is>
      </c>
      <c r="R7" t="n">
        <v>-9</v>
      </c>
      <c r="S7" t="inlineStr">
        <is>
          <t>Fixed Stop Loss</t>
        </is>
      </c>
      <c r="T7" t="n">
        <v>0.4513</v>
      </c>
      <c r="U7" t="inlineStr"/>
      <c r="V7" t="inlineStr">
        <is>
          <t>2025-11-27</t>
        </is>
      </c>
      <c r="W7" t="inlineStr">
        <is>
          <t>Between R1 and S1</t>
        </is>
      </c>
      <c r="X7" t="n">
        <v>26270.85</v>
      </c>
      <c r="Y7" t="n">
        <v>26332.65</v>
      </c>
      <c r="Z7" t="n">
        <v>25960.45</v>
      </c>
      <c r="AA7" t="n">
        <v>26460</v>
      </c>
      <c r="AB7" t="n">
        <v>25715.6</v>
      </c>
      <c r="AC7" t="n">
        <v>26704.85</v>
      </c>
      <c r="AD7" t="n">
        <v>25588.25</v>
      </c>
    </row>
    <row r="8">
      <c r="A8">
        <f>HYPERLINK("../../data_st50/DEC02_DYNAMIC/NOV28/OTM/NIFTY25D0226250CE_strategy.csv", "NIFTY25D0226250CE")</f>
        <v/>
      </c>
      <c r="B8" t="inlineStr">
        <is>
          <t>CE</t>
        </is>
      </c>
      <c r="C8" t="inlineStr">
        <is>
          <t>13:55:01</t>
        </is>
      </c>
      <c r="D8" t="inlineStr">
        <is>
          <t>14:15:00</t>
        </is>
      </c>
      <c r="E8" t="n">
        <v>79.15000000000001</v>
      </c>
      <c r="F8" t="n">
        <v>72.03</v>
      </c>
      <c r="G8" t="n">
        <v>96347.48</v>
      </c>
      <c r="H8" t="n">
        <v>106558.33</v>
      </c>
      <c r="I8" t="n">
        <v>74590.83</v>
      </c>
      <c r="J8" t="inlineStr">
        <is>
          <t>EXECUTED</t>
        </is>
      </c>
      <c r="K8" t="n">
        <v>5.75</v>
      </c>
      <c r="L8" t="n">
        <v>-10.87</v>
      </c>
      <c r="M8">
        <f>HYPERLINK("../../data_st50/DEC02_DYNAMIC/NOV28/OTM/NIFTY25D0226250CE_strategy.html", "View")</f>
        <v/>
      </c>
      <c r="N8" t="inlineStr"/>
      <c r="O8" t="inlineStr"/>
      <c r="P8" t="inlineStr">
        <is>
          <t>NEUTRAL</t>
        </is>
      </c>
      <c r="Q8" t="inlineStr">
        <is>
          <t>INCLUDED</t>
        </is>
      </c>
      <c r="R8" t="n">
        <v>-9</v>
      </c>
      <c r="S8" t="inlineStr">
        <is>
          <t>Fixed Stop Loss</t>
        </is>
      </c>
      <c r="T8" t="n">
        <v>0.2657</v>
      </c>
      <c r="U8" t="inlineStr"/>
      <c r="V8" t="inlineStr">
        <is>
          <t>2025-11-28</t>
        </is>
      </c>
      <c r="W8" t="inlineStr">
        <is>
          <t>Between R1 and S1</t>
        </is>
      </c>
      <c r="X8" t="n">
        <v>26212.2</v>
      </c>
      <c r="Y8" t="n">
        <v>26303.37</v>
      </c>
      <c r="Z8" t="n">
        <v>26134.82</v>
      </c>
      <c r="AA8" t="n">
        <v>26391.18</v>
      </c>
      <c r="AB8" t="n">
        <v>26054.08</v>
      </c>
      <c r="AC8" t="n">
        <v>26471.92</v>
      </c>
      <c r="AD8" t="n">
        <v>25966.27</v>
      </c>
    </row>
    <row r="9">
      <c r="A9">
        <f>HYPERLINK("../../data_st50/DEC02_DYNAMIC/NOV28/OTM/NIFTY25D0226250CE_strategy.csv", "NIFTY25D0226250CE")</f>
        <v/>
      </c>
      <c r="B9" t="inlineStr">
        <is>
          <t>CE</t>
        </is>
      </c>
      <c r="C9" t="inlineStr">
        <is>
          <t>13:23:01</t>
        </is>
      </c>
      <c r="D9" t="inlineStr">
        <is>
          <t>13:42:00</t>
        </is>
      </c>
      <c r="E9" t="n">
        <v>83.95</v>
      </c>
      <c r="F9" t="n">
        <v>83.41</v>
      </c>
      <c r="G9" t="n">
        <v>105876.35</v>
      </c>
      <c r="H9" t="n">
        <v>106558.33</v>
      </c>
      <c r="I9" t="n">
        <v>74590.83</v>
      </c>
      <c r="J9" t="inlineStr">
        <is>
          <t>EXECUTED</t>
        </is>
      </c>
      <c r="K9" t="n">
        <v>12.69</v>
      </c>
      <c r="L9" t="n">
        <v>-6.13</v>
      </c>
      <c r="M9">
        <f>HYPERLINK("../../data_st50/DEC02_DYNAMIC/NOV28/OTM/NIFTY25D0226250CE_strategy.html", "View")</f>
        <v/>
      </c>
      <c r="N9" t="inlineStr"/>
      <c r="O9" t="inlineStr"/>
      <c r="P9" t="inlineStr">
        <is>
          <t>NEUTRAL</t>
        </is>
      </c>
      <c r="Q9" t="inlineStr">
        <is>
          <t>INCLUDED</t>
        </is>
      </c>
      <c r="R9" t="n">
        <v>-0.64</v>
      </c>
      <c r="S9" t="inlineStr">
        <is>
          <t>SuperTrend Stop Loss Exit</t>
        </is>
      </c>
      <c r="T9" t="n">
        <v>0.5933</v>
      </c>
      <c r="U9" t="n">
        <v>0.6206</v>
      </c>
      <c r="V9" t="inlineStr">
        <is>
          <t>2025-11-28</t>
        </is>
      </c>
      <c r="W9" t="inlineStr">
        <is>
          <t>Between R1 and S1</t>
        </is>
      </c>
      <c r="X9" t="n">
        <v>26225.4</v>
      </c>
      <c r="Y9" t="n">
        <v>26303.37</v>
      </c>
      <c r="Z9" t="n">
        <v>26134.82</v>
      </c>
      <c r="AA9" t="n">
        <v>26391.18</v>
      </c>
      <c r="AB9" t="n">
        <v>26054.08</v>
      </c>
      <c r="AC9" t="n">
        <v>26471.92</v>
      </c>
      <c r="AD9" t="n">
        <v>25966.27</v>
      </c>
    </row>
    <row r="10">
      <c r="A10">
        <f>HYPERLINK("../../data_st50/DEC02_DYNAMIC/NOV28/OTM/NIFTY25D0226250CE_strategy.csv", "NIFTY25D0226250CE")</f>
        <v/>
      </c>
      <c r="B10" t="inlineStr">
        <is>
          <t>CE</t>
        </is>
      </c>
      <c r="C10" t="inlineStr">
        <is>
          <t>12:53:01</t>
        </is>
      </c>
      <c r="D10" t="inlineStr">
        <is>
          <t>13:16:00</t>
        </is>
      </c>
      <c r="E10" t="n">
        <v>82.25</v>
      </c>
      <c r="F10" t="n">
        <v>87.5</v>
      </c>
      <c r="G10" t="n">
        <v>106558.33</v>
      </c>
      <c r="H10" t="n">
        <v>106558.33</v>
      </c>
      <c r="I10" t="n">
        <v>74590.83</v>
      </c>
      <c r="J10" t="inlineStr">
        <is>
          <t>EXECUTED</t>
        </is>
      </c>
      <c r="K10" t="n">
        <v>9.85</v>
      </c>
      <c r="L10" t="n">
        <v>-6.2</v>
      </c>
      <c r="M10">
        <f>HYPERLINK("../../data_st50/DEC02_DYNAMIC/NOV28/OTM/NIFTY25D0226250CE_strategy.html", "View")</f>
        <v/>
      </c>
      <c r="N10" t="inlineStr"/>
      <c r="O10" t="inlineStr"/>
      <c r="P10" t="inlineStr">
        <is>
          <t>NEUTRAL</t>
        </is>
      </c>
      <c r="Q10" t="inlineStr">
        <is>
          <t>INCLUDED</t>
        </is>
      </c>
      <c r="R10" t="n">
        <v>6.38</v>
      </c>
      <c r="S10" t="inlineStr">
        <is>
          <t>Dynamic Trailing MA (Fast/Slow MA)</t>
        </is>
      </c>
      <c r="T10" t="n">
        <v>0.2511</v>
      </c>
      <c r="U10" t="n">
        <v>0.4374</v>
      </c>
      <c r="V10" t="inlineStr">
        <is>
          <t>2025-11-28</t>
        </is>
      </c>
      <c r="W10" t="inlineStr">
        <is>
          <t>Between R1 and S1</t>
        </is>
      </c>
      <c r="X10" t="n">
        <v>26217.7</v>
      </c>
      <c r="Y10" t="n">
        <v>26303.37</v>
      </c>
      <c r="Z10" t="n">
        <v>26134.82</v>
      </c>
      <c r="AA10" t="n">
        <v>26391.18</v>
      </c>
      <c r="AB10" t="n">
        <v>26054.08</v>
      </c>
      <c r="AC10" t="n">
        <v>26471.92</v>
      </c>
      <c r="AD10" t="n">
        <v>25966.27</v>
      </c>
    </row>
    <row r="11">
      <c r="A11">
        <f>HYPERLINK("../../data_st50/DEC02_DYNAMIC/NOV28/OTM/NIFTY25D0226200PE_strategy.csv", "NIFTY25D0226200PE")</f>
        <v/>
      </c>
      <c r="B11" t="inlineStr">
        <is>
          <t>PE</t>
        </is>
      </c>
      <c r="C11" t="inlineStr">
        <is>
          <t>12:40:01</t>
        </is>
      </c>
      <c r="D11" t="inlineStr">
        <is>
          <t>12:58:00</t>
        </is>
      </c>
      <c r="E11" t="n">
        <v>68.75</v>
      </c>
      <c r="F11" t="n">
        <v>71.84</v>
      </c>
      <c r="G11" t="n">
        <v>100167.63</v>
      </c>
      <c r="H11" t="n">
        <v>102465.09</v>
      </c>
      <c r="I11" t="n">
        <v>71725.56</v>
      </c>
      <c r="J11" t="inlineStr">
        <is>
          <t>EXECUTED</t>
        </is>
      </c>
      <c r="K11" t="n">
        <v>20.58</v>
      </c>
      <c r="L11" t="n">
        <v>-3.85</v>
      </c>
      <c r="M11">
        <f>HYPERLINK("../../data_st50/DEC02_DYNAMIC/NOV28/OTM/NIFTY25D0226200PE_strategy.html", "View")</f>
        <v/>
      </c>
      <c r="N11" t="inlineStr"/>
      <c r="O11" t="inlineStr"/>
      <c r="P11" t="inlineStr">
        <is>
          <t>BULLISH</t>
        </is>
      </c>
      <c r="Q11" t="inlineStr">
        <is>
          <t>INCLUDED (HYBRID_NEUTRAL_ZONE)</t>
        </is>
      </c>
      <c r="R11" t="n">
        <v>4.49</v>
      </c>
      <c r="S11" t="inlineStr">
        <is>
          <t>SuperTrend Stop Loss Exit</t>
        </is>
      </c>
      <c r="T11" t="n">
        <v>0.4386</v>
      </c>
      <c r="U11" t="n">
        <v>0.7866</v>
      </c>
      <c r="V11" t="inlineStr">
        <is>
          <t>2025-11-28</t>
        </is>
      </c>
      <c r="W11" t="inlineStr">
        <is>
          <t>Between R1 and S1</t>
        </is>
      </c>
      <c r="X11" t="n">
        <v>26229.7</v>
      </c>
      <c r="Y11" t="n">
        <v>26303.37</v>
      </c>
      <c r="Z11" t="n">
        <v>26134.82</v>
      </c>
      <c r="AA11" t="n">
        <v>26391.18</v>
      </c>
      <c r="AB11" t="n">
        <v>26054.08</v>
      </c>
      <c r="AC11" t="n">
        <v>26471.92</v>
      </c>
      <c r="AD11" t="n">
        <v>25966.27</v>
      </c>
    </row>
    <row r="12">
      <c r="A12">
        <f>HYPERLINK("../../data_st50/DEC02_DYNAMIC/NOV28/OTM/NIFTY25D0226250PE_strategy.csv", "NIFTY25D0226250PE")</f>
        <v/>
      </c>
      <c r="B12" t="inlineStr">
        <is>
          <t>PE</t>
        </is>
      </c>
      <c r="C12" t="inlineStr">
        <is>
          <t>11:51:01</t>
        </is>
      </c>
      <c r="D12" t="inlineStr">
        <is>
          <t>12:32:00</t>
        </is>
      </c>
      <c r="E12" t="n">
        <v>85.3</v>
      </c>
      <c r="F12" t="n">
        <v>87.7</v>
      </c>
      <c r="G12" t="n">
        <v>95863.37</v>
      </c>
      <c r="H12" t="n">
        <v>102465.09</v>
      </c>
      <c r="I12" t="n">
        <v>71725.56</v>
      </c>
      <c r="J12" t="inlineStr">
        <is>
          <t>EXECUTED</t>
        </is>
      </c>
      <c r="K12" t="n">
        <v>17.17</v>
      </c>
      <c r="L12" t="n">
        <v>-5.74</v>
      </c>
      <c r="M12">
        <f>HYPERLINK("../../data_st50/DEC02_DYNAMIC/NOV28/OTM/NIFTY25D0226250PE_strategy.html", "View")</f>
        <v/>
      </c>
      <c r="N12" t="inlineStr"/>
      <c r="O12" t="inlineStr"/>
      <c r="P12" t="inlineStr">
        <is>
          <t>BEARISH</t>
        </is>
      </c>
      <c r="Q12" t="inlineStr">
        <is>
          <t>INCLUDED (HYBRID_NEUTRAL_ZONE)</t>
        </is>
      </c>
      <c r="R12" t="n">
        <v>2.81</v>
      </c>
      <c r="S12" t="inlineStr">
        <is>
          <t>SuperTrend Stop Loss Exit</t>
        </is>
      </c>
      <c r="T12" t="n">
        <v>0.3868</v>
      </c>
      <c r="U12" t="n">
        <v>0.6435</v>
      </c>
      <c r="V12" t="inlineStr">
        <is>
          <t>2025-11-28</t>
        </is>
      </c>
      <c r="W12" t="inlineStr">
        <is>
          <t>Between R1 and S1</t>
        </is>
      </c>
      <c r="X12" t="n">
        <v>26249.2</v>
      </c>
      <c r="Y12" t="n">
        <v>26303.37</v>
      </c>
      <c r="Z12" t="n">
        <v>26134.82</v>
      </c>
      <c r="AA12" t="n">
        <v>26391.18</v>
      </c>
      <c r="AB12" t="n">
        <v>26054.08</v>
      </c>
      <c r="AC12" t="n">
        <v>26471.92</v>
      </c>
      <c r="AD12" t="n">
        <v>25966.27</v>
      </c>
    </row>
    <row r="13">
      <c r="A13">
        <f>HYPERLINK("../../data_st50/DEC02_DYNAMIC/NOV28/OTM/NIFTY25D0226250CE_strategy.csv", "NIFTY25D0226250CE")</f>
        <v/>
      </c>
      <c r="B13" t="inlineStr">
        <is>
          <t>CE</t>
        </is>
      </c>
      <c r="C13" t="inlineStr">
        <is>
          <t>11:44:01</t>
        </is>
      </c>
      <c r="D13" t="inlineStr">
        <is>
          <t>12:09:00</t>
        </is>
      </c>
      <c r="E13" t="n">
        <v>103.9</v>
      </c>
      <c r="F13" t="n">
        <v>94.55</v>
      </c>
      <c r="G13" t="n">
        <v>93243.23</v>
      </c>
      <c r="H13" t="n">
        <v>102465.09</v>
      </c>
      <c r="I13" t="n">
        <v>71725.56</v>
      </c>
      <c r="J13" t="inlineStr">
        <is>
          <t>EXECUTED</t>
        </is>
      </c>
      <c r="K13" t="n">
        <v>4.57</v>
      </c>
      <c r="L13" t="n">
        <v>-6.35</v>
      </c>
      <c r="M13">
        <f>HYPERLINK("../../data_st50/DEC02_DYNAMIC/NOV28/OTM/NIFTY25D0226250CE_strategy.html", "View")</f>
        <v/>
      </c>
      <c r="N13" t="inlineStr"/>
      <c r="O13" t="inlineStr"/>
      <c r="P13" t="inlineStr">
        <is>
          <t>BEARISH</t>
        </is>
      </c>
      <c r="Q13" t="inlineStr">
        <is>
          <t>INCLUDED (HYBRID_NEUTRAL_ZONE)</t>
        </is>
      </c>
      <c r="R13" t="n">
        <v>-9</v>
      </c>
      <c r="S13" t="inlineStr">
        <is>
          <t>Fixed Stop Loss</t>
        </is>
      </c>
      <c r="T13" t="n">
        <v>0.4444</v>
      </c>
      <c r="U13" t="inlineStr"/>
      <c r="V13" t="inlineStr">
        <is>
          <t>2025-11-28</t>
        </is>
      </c>
      <c r="W13" t="inlineStr">
        <is>
          <t>Between R1 and S1</t>
        </is>
      </c>
      <c r="X13" t="n">
        <v>26247.95</v>
      </c>
      <c r="Y13" t="n">
        <v>26303.37</v>
      </c>
      <c r="Z13" t="n">
        <v>26134.82</v>
      </c>
      <c r="AA13" t="n">
        <v>26391.18</v>
      </c>
      <c r="AB13" t="n">
        <v>26054.08</v>
      </c>
      <c r="AC13" t="n">
        <v>26471.92</v>
      </c>
      <c r="AD13" t="n">
        <v>25966.27</v>
      </c>
    </row>
    <row r="14">
      <c r="A14">
        <f>HYPERLINK("../../data_st50/DEC02_DYNAMIC/NOV28/OTM/NIFTY25D0226250PE_strategy.csv", "NIFTY25D0226250PE")</f>
        <v/>
      </c>
      <c r="B14" t="inlineStr">
        <is>
          <t>PE</t>
        </is>
      </c>
      <c r="C14" t="inlineStr">
        <is>
          <t>10:51:01</t>
        </is>
      </c>
      <c r="D14" t="inlineStr">
        <is>
          <t>11:48:00</t>
        </is>
      </c>
      <c r="E14" t="n">
        <v>80.09999999999999</v>
      </c>
      <c r="F14" t="n">
        <v>82.15000000000001</v>
      </c>
      <c r="G14" t="n">
        <v>102465.09</v>
      </c>
      <c r="H14" t="n">
        <v>102465.09</v>
      </c>
      <c r="I14" t="n">
        <v>71725.56</v>
      </c>
      <c r="J14" t="inlineStr">
        <is>
          <t>EXECUTED</t>
        </is>
      </c>
      <c r="K14" t="n">
        <v>15.42</v>
      </c>
      <c r="L14" t="n">
        <v>-7.62</v>
      </c>
      <c r="M14">
        <f>HYPERLINK("../../data_st50/DEC02_DYNAMIC/NOV28/OTM/NIFTY25D0226250PE_strategy.html", "View")</f>
        <v/>
      </c>
      <c r="N14" t="inlineStr"/>
      <c r="O14" t="inlineStr"/>
      <c r="P14" t="inlineStr">
        <is>
          <t>NEUTRAL</t>
        </is>
      </c>
      <c r="Q14" t="inlineStr">
        <is>
          <t>INCLUDED</t>
        </is>
      </c>
      <c r="R14" t="n">
        <v>2.56</v>
      </c>
      <c r="S14" t="inlineStr">
        <is>
          <t>Dynamic Trailing MA (Fast/Slow MA)</t>
        </is>
      </c>
      <c r="T14" t="n">
        <v>0.3855</v>
      </c>
      <c r="U14" t="n">
        <v>0.5711000000000001</v>
      </c>
      <c r="V14" t="inlineStr">
        <is>
          <t>2025-11-28</t>
        </is>
      </c>
      <c r="W14" t="inlineStr">
        <is>
          <t>Between R1 and S1</t>
        </is>
      </c>
      <c r="X14" t="n">
        <v>26265.95</v>
      </c>
      <c r="Y14" t="n">
        <v>26303.37</v>
      </c>
      <c r="Z14" t="n">
        <v>26134.82</v>
      </c>
      <c r="AA14" t="n">
        <v>26391.18</v>
      </c>
      <c r="AB14" t="n">
        <v>26054.08</v>
      </c>
      <c r="AC14" t="n">
        <v>26471.92</v>
      </c>
      <c r="AD14" t="n">
        <v>25966.27</v>
      </c>
    </row>
    <row r="15">
      <c r="A15">
        <f>HYPERLINK("../../data_st50/DEC02_DYNAMIC/NOV28/OTM/NIFTY25D0226250CE_strategy.csv", "NIFTY25D0226250CE")</f>
        <v/>
      </c>
      <c r="B15" t="inlineStr">
        <is>
          <t>CE</t>
        </is>
      </c>
      <c r="C15" t="inlineStr">
        <is>
          <t>10:27:01</t>
        </is>
      </c>
      <c r="D15" t="inlineStr">
        <is>
          <t>10:59:00</t>
        </is>
      </c>
      <c r="E15" t="n">
        <v>104.7</v>
      </c>
      <c r="F15" t="n">
        <v>112.55</v>
      </c>
      <c r="G15" t="n">
        <v>99907.46000000001</v>
      </c>
      <c r="H15" t="n">
        <v>100000</v>
      </c>
      <c r="I15" t="n">
        <v>70000</v>
      </c>
      <c r="J15" t="inlineStr">
        <is>
          <t>EXECUTED</t>
        </is>
      </c>
      <c r="K15" t="n">
        <v>21.78</v>
      </c>
      <c r="L15" t="n">
        <v>-7.4</v>
      </c>
      <c r="M15">
        <f>HYPERLINK("../../data_st50/DEC02_DYNAMIC/NOV28/OTM/NIFTY25D0226250CE_strategy.html", "View")</f>
        <v/>
      </c>
      <c r="N15" t="inlineStr"/>
      <c r="O15" t="inlineStr"/>
      <c r="P15" t="inlineStr">
        <is>
          <t>BULLISH</t>
        </is>
      </c>
      <c r="Q15" t="inlineStr">
        <is>
          <t>INCLUDED (HYBRID_NEUTRAL_ZONE)</t>
        </is>
      </c>
      <c r="R15" t="n">
        <v>7.5</v>
      </c>
      <c r="S15" t="inlineStr">
        <is>
          <t>Dynamic Trailing MA (Fast/Slow MA)</t>
        </is>
      </c>
      <c r="T15" t="n">
        <v>0.4898</v>
      </c>
      <c r="U15" t="n">
        <v>0.6701</v>
      </c>
      <c r="V15" t="inlineStr">
        <is>
          <t>2025-11-28</t>
        </is>
      </c>
      <c r="W15" t="inlineStr">
        <is>
          <t>Between R1 and S1</t>
        </is>
      </c>
      <c r="X15" t="n">
        <v>26237.45</v>
      </c>
      <c r="Y15" t="n">
        <v>26303.37</v>
      </c>
      <c r="Z15" t="n">
        <v>26134.82</v>
      </c>
      <c r="AA15" t="n">
        <v>26391.18</v>
      </c>
      <c r="AB15" t="n">
        <v>26054.08</v>
      </c>
      <c r="AC15" t="n">
        <v>26471.92</v>
      </c>
      <c r="AD15" t="n">
        <v>25966.27</v>
      </c>
    </row>
    <row r="16">
      <c r="A16">
        <f>HYPERLINK("../../data_st50/DEC02_DYNAMIC/NOV28/OTM/NIFTY25D0226250PE_strategy.csv", "NIFTY25D0226250PE")</f>
        <v/>
      </c>
      <c r="B16" t="inlineStr">
        <is>
          <t>PE</t>
        </is>
      </c>
      <c r="C16" t="inlineStr">
        <is>
          <t>10:14:01</t>
        </is>
      </c>
      <c r="D16" t="inlineStr">
        <is>
          <t>10:32:00</t>
        </is>
      </c>
      <c r="E16" t="n">
        <v>87.2</v>
      </c>
      <c r="F16" t="n">
        <v>83.67</v>
      </c>
      <c r="G16" t="n">
        <v>92937.17</v>
      </c>
      <c r="H16" t="n">
        <v>100000</v>
      </c>
      <c r="I16" t="n">
        <v>70000</v>
      </c>
      <c r="J16" t="inlineStr">
        <is>
          <t>EXECUTED</t>
        </is>
      </c>
      <c r="K16" t="n">
        <v>12.67</v>
      </c>
      <c r="L16" t="n">
        <v>-8.199999999999999</v>
      </c>
      <c r="M16">
        <f>HYPERLINK("../../data_st50/DEC02_DYNAMIC/NOV28/OTM/NIFTY25D0226250PE_strategy.html", "View")</f>
        <v/>
      </c>
      <c r="N16" t="inlineStr"/>
      <c r="O16" t="inlineStr"/>
      <c r="P16" t="inlineStr">
        <is>
          <t>BEARISH</t>
        </is>
      </c>
      <c r="Q16" t="inlineStr">
        <is>
          <t>INCLUDED (HYBRID_NEUTRAL_ZONE)</t>
        </is>
      </c>
      <c r="R16" t="n">
        <v>-4.05</v>
      </c>
      <c r="S16" t="inlineStr">
        <is>
          <t>SuperTrend Stop Loss Exit</t>
        </is>
      </c>
      <c r="T16" t="n">
        <v>0.5089</v>
      </c>
      <c r="U16" t="n">
        <v>0.6853</v>
      </c>
      <c r="V16" t="inlineStr">
        <is>
          <t>2025-11-28</t>
        </is>
      </c>
      <c r="W16" t="inlineStr">
        <is>
          <t>Between R1 and S1</t>
        </is>
      </c>
      <c r="X16" t="n">
        <v>26240.4</v>
      </c>
      <c r="Y16" t="n">
        <v>26303.37</v>
      </c>
      <c r="Z16" t="n">
        <v>26134.82</v>
      </c>
      <c r="AA16" t="n">
        <v>26391.18</v>
      </c>
      <c r="AB16" t="n">
        <v>26054.08</v>
      </c>
      <c r="AC16" t="n">
        <v>26471.92</v>
      </c>
      <c r="AD16" t="n">
        <v>25966.27</v>
      </c>
    </row>
    <row r="17">
      <c r="A17">
        <f>HYPERLINK("../../data_st50/DEC02_DYNAMIC/NOV28/OTM/NIFTY25D0226200PE_strategy.csv", "NIFTY25D0226200PE")</f>
        <v/>
      </c>
      <c r="B17" t="inlineStr">
        <is>
          <t>PE</t>
        </is>
      </c>
      <c r="C17" t="inlineStr">
        <is>
          <t>09:37:01</t>
        </is>
      </c>
      <c r="D17" t="inlineStr">
        <is>
          <t>09:48:00</t>
        </is>
      </c>
      <c r="E17" t="n">
        <v>74.84999999999999</v>
      </c>
      <c r="F17" t="n">
        <v>72.5</v>
      </c>
      <c r="G17" t="n">
        <v>96860</v>
      </c>
      <c r="H17" t="n">
        <v>100000</v>
      </c>
      <c r="I17" t="n">
        <v>70000</v>
      </c>
      <c r="J17" t="inlineStr">
        <is>
          <t>EXECUTED</t>
        </is>
      </c>
      <c r="K17" t="n">
        <v>16.23</v>
      </c>
      <c r="L17" t="n">
        <v>-11.29</v>
      </c>
      <c r="M17">
        <f>HYPERLINK("../../data_st50/DEC02_DYNAMIC/NOV28/OTM/NIFTY25D0226200PE_strategy.html", "View")</f>
        <v/>
      </c>
      <c r="N17" t="inlineStr"/>
      <c r="O17" t="inlineStr"/>
      <c r="P17" t="inlineStr">
        <is>
          <t>BULLISH</t>
        </is>
      </c>
      <c r="Q17" t="inlineStr">
        <is>
          <t>INCLUDED (HYBRID_NEUTRAL_ZONE)</t>
        </is>
      </c>
      <c r="R17" t="n">
        <v>-3.14</v>
      </c>
      <c r="S17" t="inlineStr">
        <is>
          <t>Dynamic Trailing MA (Fast/Slow MA)</t>
        </is>
      </c>
      <c r="T17" t="n">
        <v>0.4108</v>
      </c>
      <c r="U17" t="n">
        <v>0.4532</v>
      </c>
      <c r="V17" t="inlineStr">
        <is>
          <t>2025-11-28</t>
        </is>
      </c>
      <c r="W17" t="inlineStr">
        <is>
          <t>Between R1 and S1</t>
        </is>
      </c>
      <c r="X17" t="n">
        <v>26219.4</v>
      </c>
      <c r="Y17" t="n">
        <v>26303.37</v>
      </c>
      <c r="Z17" t="n">
        <v>26134.82</v>
      </c>
      <c r="AA17" t="n">
        <v>26391.18</v>
      </c>
      <c r="AB17" t="n">
        <v>26054.08</v>
      </c>
      <c r="AC17" t="n">
        <v>26471.92</v>
      </c>
      <c r="AD17" t="n">
        <v>25966.27</v>
      </c>
    </row>
    <row r="18">
      <c r="A18">
        <f>HYPERLINK("../../data_st50/DEC02_DYNAMIC/DEC01/OTM/NIFTY25D0226200CE_strategy.csv", "NIFTY25D0226200CE")</f>
        <v/>
      </c>
      <c r="B18" t="inlineStr">
        <is>
          <t>CE</t>
        </is>
      </c>
      <c r="C18" t="inlineStr">
        <is>
          <t>12:40:01</t>
        </is>
      </c>
      <c r="D18" t="inlineStr">
        <is>
          <t>12:43:00</t>
        </is>
      </c>
      <c r="E18" t="n">
        <v>60.25</v>
      </c>
      <c r="F18" t="n">
        <v>54.83</v>
      </c>
      <c r="G18" t="n">
        <v>80601.95</v>
      </c>
      <c r="H18" t="n">
        <v>100000</v>
      </c>
      <c r="I18" t="n">
        <v>70000</v>
      </c>
      <c r="J18" t="inlineStr">
        <is>
          <t>EXECUTED</t>
        </is>
      </c>
      <c r="K18" t="n">
        <v>2.66</v>
      </c>
      <c r="L18" t="n">
        <v>-3.57</v>
      </c>
      <c r="M18">
        <f>HYPERLINK("../../data_st50/DEC02_DYNAMIC/DEC01/OTM/NIFTY25D0226200CE_strategy.html", "View")</f>
        <v/>
      </c>
      <c r="N18" t="inlineStr"/>
      <c r="O18" t="inlineStr"/>
      <c r="P18" t="inlineStr">
        <is>
          <t>NEUTRAL</t>
        </is>
      </c>
      <c r="Q18" t="inlineStr">
        <is>
          <t>INCLUDED</t>
        </is>
      </c>
      <c r="R18" t="n">
        <v>-9</v>
      </c>
      <c r="S18" t="inlineStr">
        <is>
          <t>Fixed Stop Loss</t>
        </is>
      </c>
      <c r="T18" t="n">
        <v>0.2766</v>
      </c>
      <c r="U18" t="inlineStr"/>
      <c r="V18" t="inlineStr">
        <is>
          <t>2025-12-01</t>
        </is>
      </c>
      <c r="W18" t="inlineStr">
        <is>
          <t>Between R1 and S1</t>
        </is>
      </c>
      <c r="X18" t="n">
        <v>26163.25</v>
      </c>
      <c r="Y18" t="n">
        <v>26265</v>
      </c>
      <c r="Z18" t="n">
        <v>26156.65</v>
      </c>
      <c r="AA18" t="n">
        <v>26327.05</v>
      </c>
      <c r="AB18" t="n">
        <v>26110.35</v>
      </c>
      <c r="AC18" t="n">
        <v>26373.35</v>
      </c>
      <c r="AD18" t="n">
        <v>26048.3</v>
      </c>
    </row>
    <row r="19">
      <c r="A19">
        <f>HYPERLINK("../../data_st50/DEC09_DYNAMIC/DEC04/OTM/NIFTY25D0926050CE_strategy.csv", "NIFTY25D0926050CE")</f>
        <v/>
      </c>
      <c r="B19" t="inlineStr">
        <is>
          <t>CE</t>
        </is>
      </c>
      <c r="C19" t="inlineStr">
        <is>
          <t>12:24:01</t>
        </is>
      </c>
      <c r="D19" t="inlineStr">
        <is>
          <t>12:45:00</t>
        </is>
      </c>
      <c r="E19" t="n">
        <v>103.75</v>
      </c>
      <c r="F19" t="n">
        <v>94.41</v>
      </c>
      <c r="G19" t="n">
        <v>153499.8</v>
      </c>
      <c r="H19" t="n">
        <v>181001.7</v>
      </c>
      <c r="I19" t="n">
        <v>126701.19</v>
      </c>
      <c r="J19" t="inlineStr">
        <is>
          <t>EXECUTED</t>
        </is>
      </c>
      <c r="K19" t="n">
        <v>9.01</v>
      </c>
      <c r="L19" t="n">
        <v>-6.12</v>
      </c>
      <c r="M19">
        <f>HYPERLINK("../../data_st50/DEC09_DYNAMIC/DEC04/OTM/NIFTY25D0926050CE_strategy.html", "View")</f>
        <v/>
      </c>
      <c r="N19" t="inlineStr"/>
      <c r="O19" t="inlineStr"/>
      <c r="P19" t="inlineStr">
        <is>
          <t>NEUTRAL</t>
        </is>
      </c>
      <c r="Q19" t="inlineStr">
        <is>
          <t>INCLUDED</t>
        </is>
      </c>
      <c r="R19" t="n">
        <v>-9</v>
      </c>
      <c r="S19" t="inlineStr">
        <is>
          <t>Fixed Stop Loss</t>
        </is>
      </c>
      <c r="T19" t="n">
        <v>0.3094</v>
      </c>
      <c r="U19" t="n">
        <v>0.478</v>
      </c>
      <c r="V19" t="inlineStr">
        <is>
          <t>2025-12-04</t>
        </is>
      </c>
      <c r="W19" t="inlineStr">
        <is>
          <t>Between R1 and S1</t>
        </is>
      </c>
      <c r="X19" t="n">
        <v>26019.5</v>
      </c>
      <c r="Y19" t="n">
        <v>26071.3</v>
      </c>
      <c r="Z19" t="n">
        <v>25895.85</v>
      </c>
      <c r="AA19" t="n">
        <v>26156.6</v>
      </c>
      <c r="AB19" t="n">
        <v>25805.7</v>
      </c>
      <c r="AC19" t="n">
        <v>26246.75</v>
      </c>
      <c r="AD19" t="n">
        <v>25720.4</v>
      </c>
    </row>
    <row r="20">
      <c r="A20">
        <f>HYPERLINK("../../data_st50/DEC09_DYNAMIC/DEC04/OTM/NIFTY25D0926000PE_strategy.csv", "NIFTY25D0926000PE")</f>
        <v/>
      </c>
      <c r="B20" t="inlineStr">
        <is>
          <t>PE</t>
        </is>
      </c>
      <c r="C20" t="inlineStr">
        <is>
          <t>12:11:01</t>
        </is>
      </c>
      <c r="D20" t="inlineStr">
        <is>
          <t>12:32:00</t>
        </is>
      </c>
      <c r="E20" t="n">
        <v>82.90000000000001</v>
      </c>
      <c r="F20" t="n">
        <v>84.90000000000001</v>
      </c>
      <c r="G20" t="n">
        <v>168681.1</v>
      </c>
      <c r="H20" t="n">
        <v>181001.7</v>
      </c>
      <c r="I20" t="n">
        <v>126701.19</v>
      </c>
      <c r="J20" t="inlineStr">
        <is>
          <t>EXECUTED</t>
        </is>
      </c>
      <c r="K20" t="n">
        <v>13.57</v>
      </c>
      <c r="L20" t="n">
        <v>-8.99</v>
      </c>
      <c r="M20">
        <f>HYPERLINK("../../data_st50/DEC09_DYNAMIC/DEC04/OTM/NIFTY25D0926000PE_strategy.html", "View")</f>
        <v/>
      </c>
      <c r="N20" t="inlineStr"/>
      <c r="O20" t="inlineStr"/>
      <c r="P20" t="inlineStr">
        <is>
          <t>NEUTRAL</t>
        </is>
      </c>
      <c r="Q20" t="inlineStr">
        <is>
          <t>INCLUDED</t>
        </is>
      </c>
      <c r="R20" t="n">
        <v>2.41</v>
      </c>
      <c r="S20" t="inlineStr">
        <is>
          <t>Dynamic Trailing MA (Fast/Slow MA)</t>
        </is>
      </c>
      <c r="T20" t="n">
        <v>0.473</v>
      </c>
      <c r="U20" t="n">
        <v>0.7264</v>
      </c>
      <c r="V20" t="inlineStr">
        <is>
          <t>2025-12-04</t>
        </is>
      </c>
      <c r="W20" t="inlineStr">
        <is>
          <t>Between R1 and S1</t>
        </is>
      </c>
      <c r="X20" t="n">
        <v>26023.8</v>
      </c>
      <c r="Y20" t="n">
        <v>26071.3</v>
      </c>
      <c r="Z20" t="n">
        <v>25895.85</v>
      </c>
      <c r="AA20" t="n">
        <v>26156.6</v>
      </c>
      <c r="AB20" t="n">
        <v>25805.7</v>
      </c>
      <c r="AC20" t="n">
        <v>26246.75</v>
      </c>
      <c r="AD20" t="n">
        <v>25720.4</v>
      </c>
    </row>
    <row r="21">
      <c r="A21">
        <f>HYPERLINK("../../data_st50/DEC09_DYNAMIC/DEC04/OTM/NIFTY25D0926050CE_strategy.csv", "NIFTY25D0926050CE")</f>
        <v/>
      </c>
      <c r="B21" t="inlineStr">
        <is>
          <t>CE</t>
        </is>
      </c>
      <c r="C21" t="inlineStr">
        <is>
          <t>11:49:01</t>
        </is>
      </c>
      <c r="D21" t="inlineStr">
        <is>
          <t>12:20:00</t>
        </is>
      </c>
      <c r="E21" t="n">
        <v>111.7</v>
      </c>
      <c r="F21" t="n">
        <v>101.65</v>
      </c>
      <c r="G21" t="n">
        <v>164711.55</v>
      </c>
      <c r="H21" t="n">
        <v>181001.7</v>
      </c>
      <c r="I21" t="n">
        <v>126701.19</v>
      </c>
      <c r="J21" t="inlineStr">
        <is>
          <t>EXECUTED</t>
        </is>
      </c>
      <c r="K21" t="n">
        <v>6.62</v>
      </c>
      <c r="L21" t="n">
        <v>-7.43</v>
      </c>
      <c r="M21">
        <f>HYPERLINK("../../data_st50/DEC09_DYNAMIC/DEC04/OTM/NIFTY25D0926050CE_strategy.html", "View")</f>
        <v/>
      </c>
      <c r="N21" t="inlineStr"/>
      <c r="O21" t="inlineStr"/>
      <c r="P21" t="inlineStr">
        <is>
          <t>NEUTRAL</t>
        </is>
      </c>
      <c r="Q21" t="inlineStr">
        <is>
          <t>INCLUDED</t>
        </is>
      </c>
      <c r="R21" t="n">
        <v>-9</v>
      </c>
      <c r="S21" t="inlineStr">
        <is>
          <t>Fixed Stop Loss</t>
        </is>
      </c>
      <c r="T21" t="n">
        <v>0.1444</v>
      </c>
      <c r="U21" t="inlineStr"/>
      <c r="V21" t="inlineStr">
        <is>
          <t>2025-12-04</t>
        </is>
      </c>
      <c r="W21" t="inlineStr">
        <is>
          <t>Between R1 and S1</t>
        </is>
      </c>
      <c r="X21" t="n">
        <v>26031.3</v>
      </c>
      <c r="Y21" t="n">
        <v>26071.3</v>
      </c>
      <c r="Z21" t="n">
        <v>25895.85</v>
      </c>
      <c r="AA21" t="n">
        <v>26156.6</v>
      </c>
      <c r="AB21" t="n">
        <v>25805.7</v>
      </c>
      <c r="AC21" t="n">
        <v>26246.75</v>
      </c>
      <c r="AD21" t="n">
        <v>25720.4</v>
      </c>
    </row>
    <row r="22">
      <c r="A22">
        <f>HYPERLINK("../../data_st50/DEC09_DYNAMIC/DEC04/OTM/NIFTY25D0926000PE_strategy.csv", "NIFTY25D0926000PE")</f>
        <v/>
      </c>
      <c r="B22" t="inlineStr">
        <is>
          <t>PE</t>
        </is>
      </c>
      <c r="C22" t="inlineStr">
        <is>
          <t>10:10:01</t>
        </is>
      </c>
      <c r="D22" t="inlineStr">
        <is>
          <t>10:14:00</t>
        </is>
      </c>
      <c r="E22" t="n">
        <v>89.59999999999999</v>
      </c>
      <c r="F22" t="n">
        <v>81.54000000000001</v>
      </c>
      <c r="G22" t="n">
        <v>91000</v>
      </c>
      <c r="H22" t="n">
        <v>100000</v>
      </c>
      <c r="I22" t="n">
        <v>70000</v>
      </c>
      <c r="J22" t="inlineStr">
        <is>
          <t>EXECUTED</t>
        </is>
      </c>
      <c r="K22" t="n">
        <v>1.56</v>
      </c>
      <c r="L22" t="n">
        <v>-9.26</v>
      </c>
      <c r="M22">
        <f>HYPERLINK("../../data_st50/DEC09_DYNAMIC/DEC04/OTM/NIFTY25D0926000PE_strategy.html", "View")</f>
        <v/>
      </c>
      <c r="N22" t="inlineStr"/>
      <c r="O22" t="inlineStr"/>
      <c r="P22" t="inlineStr">
        <is>
          <t>NEUTRAL</t>
        </is>
      </c>
      <c r="Q22" t="inlineStr">
        <is>
          <t>INCLUDED</t>
        </is>
      </c>
      <c r="R22" t="n">
        <v>-9</v>
      </c>
      <c r="S22" t="inlineStr">
        <is>
          <t>Fixed Stop Loss</t>
        </is>
      </c>
      <c r="T22" t="n">
        <v>0.5323</v>
      </c>
      <c r="U22" t="inlineStr"/>
      <c r="V22" t="inlineStr">
        <is>
          <t>2025-12-04</t>
        </is>
      </c>
      <c r="W22" t="inlineStr">
        <is>
          <t>Between R1 and S1</t>
        </is>
      </c>
      <c r="X22" t="n">
        <v>26029</v>
      </c>
      <c r="Y22" t="n">
        <v>26071.3</v>
      </c>
      <c r="Z22" t="n">
        <v>25895.85</v>
      </c>
      <c r="AA22" t="n">
        <v>26156.6</v>
      </c>
      <c r="AB22" t="n">
        <v>25805.7</v>
      </c>
      <c r="AC22" t="n">
        <v>26246.75</v>
      </c>
      <c r="AD22" t="n">
        <v>25720.4</v>
      </c>
    </row>
    <row r="23">
      <c r="A23">
        <f>HYPERLINK("../../data_st50/DEC09_DYNAMIC/DEC04/OTM/NIFTY25D0926000CE_strategy.csv", "NIFTY25D0926000CE")</f>
        <v/>
      </c>
      <c r="B23" t="inlineStr">
        <is>
          <t>CE</t>
        </is>
      </c>
      <c r="C23" t="inlineStr">
        <is>
          <t>09:23:01</t>
        </is>
      </c>
      <c r="D23" t="inlineStr">
        <is>
          <t>10:56:00</t>
        </is>
      </c>
      <c r="E23" t="n">
        <v>108.4</v>
      </c>
      <c r="F23" t="n">
        <v>181.35</v>
      </c>
      <c r="G23" t="n">
        <v>152243</v>
      </c>
      <c r="H23" t="n">
        <v>152243</v>
      </c>
      <c r="I23" t="n">
        <v>106570.1</v>
      </c>
      <c r="J23" t="inlineStr">
        <is>
          <t>EXECUTED</t>
        </is>
      </c>
      <c r="K23" t="n">
        <v>78.18000000000001</v>
      </c>
      <c r="L23" t="n">
        <v>-8.630000000000001</v>
      </c>
      <c r="M23">
        <f>HYPERLINK("../../data_st50/DEC09_DYNAMIC/DEC04/OTM/NIFTY25D0926000CE_strategy.html", "View")</f>
        <v/>
      </c>
      <c r="N23" t="inlineStr"/>
      <c r="O23" t="inlineStr"/>
      <c r="P23" t="inlineStr">
        <is>
          <t>BULLISH</t>
        </is>
      </c>
      <c r="Q23" t="inlineStr">
        <is>
          <t>INCLUDED (HYBRID_NEUTRAL_ZONE)</t>
        </is>
      </c>
      <c r="R23" t="n">
        <v>67.3</v>
      </c>
      <c r="S23" t="inlineStr">
        <is>
          <t>Dynamic Trailing MA (Fast/Slow MA)</t>
        </is>
      </c>
      <c r="T23" t="n">
        <v>0.363</v>
      </c>
      <c r="U23" t="n">
        <v>0.4123</v>
      </c>
      <c r="V23" t="inlineStr">
        <is>
          <t>2025-12-04</t>
        </is>
      </c>
      <c r="W23" t="inlineStr">
        <is>
          <t>Between R1 and S1</t>
        </is>
      </c>
      <c r="X23" t="n">
        <v>25985.45</v>
      </c>
      <c r="Y23" t="n">
        <v>26071.3</v>
      </c>
      <c r="Z23" t="n">
        <v>25895.85</v>
      </c>
      <c r="AA23" t="n">
        <v>26156.6</v>
      </c>
      <c r="AB23" t="n">
        <v>25805.7</v>
      </c>
      <c r="AC23" t="n">
        <v>26246.75</v>
      </c>
      <c r="AD23" t="n">
        <v>25720.4</v>
      </c>
    </row>
    <row r="24">
      <c r="A24">
        <f>HYPERLINK("../../data_st50/DEC09_DYNAMIC/DEC05/OTM/NIFTY25D0926050CE_strategy.csv", "NIFTY25D0926050CE")</f>
        <v/>
      </c>
      <c r="B24" t="inlineStr">
        <is>
          <t>CE</t>
        </is>
      </c>
      <c r="C24" t="inlineStr">
        <is>
          <t>10:03:01</t>
        </is>
      </c>
      <c r="D24" t="inlineStr">
        <is>
          <t>10:28:00</t>
        </is>
      </c>
      <c r="E24" t="n">
        <v>102.55</v>
      </c>
      <c r="F24" t="n">
        <v>134.64</v>
      </c>
      <c r="G24" t="n">
        <v>120956.72</v>
      </c>
      <c r="H24" t="n">
        <v>120956.72</v>
      </c>
      <c r="I24" t="n">
        <v>84669.7</v>
      </c>
      <c r="J24" t="inlineStr">
        <is>
          <t>EXECUTED</t>
        </is>
      </c>
      <c r="K24" t="n">
        <v>60.9</v>
      </c>
      <c r="L24" t="n">
        <v>-9.119999999999999</v>
      </c>
      <c r="M24">
        <f>HYPERLINK("../../data_st50/DEC09_DYNAMIC/DEC05/OTM/NIFTY25D0926050CE_strategy.html", "View")</f>
        <v/>
      </c>
      <c r="N24" t="inlineStr"/>
      <c r="O24" t="inlineStr"/>
      <c r="P24" t="inlineStr">
        <is>
          <t>NEUTRAL</t>
        </is>
      </c>
      <c r="Q24" t="inlineStr">
        <is>
          <t>INCLUDED</t>
        </is>
      </c>
      <c r="R24" t="n">
        <v>31.29</v>
      </c>
      <c r="S24" t="inlineStr">
        <is>
          <t>SuperTrend Stop Loss Exit</t>
        </is>
      </c>
      <c r="T24" t="n">
        <v>0.305</v>
      </c>
      <c r="U24" t="n">
        <v>0.6458</v>
      </c>
      <c r="V24" t="inlineStr">
        <is>
          <t>2025-12-05</t>
        </is>
      </c>
      <c r="W24" t="inlineStr">
        <is>
          <t>Between R1 and S1</t>
        </is>
      </c>
      <c r="X24" t="n">
        <v>26050.85</v>
      </c>
      <c r="Y24" t="n">
        <v>26108.35</v>
      </c>
      <c r="Z24" t="n">
        <v>25949.05</v>
      </c>
      <c r="AA24" t="n">
        <v>26182.95</v>
      </c>
      <c r="AB24" t="n">
        <v>25864.35</v>
      </c>
      <c r="AC24" t="n">
        <v>26267.65</v>
      </c>
      <c r="AD24" t="n">
        <v>25789.75</v>
      </c>
    </row>
    <row r="25">
      <c r="A25">
        <f>HYPERLINK("../../data_st50/DEC09_DYNAMIC/DEC05/OTM/NIFTY25D0926050PE_strategy.csv", "NIFTY25D0926050PE")</f>
        <v/>
      </c>
      <c r="B25" t="inlineStr">
        <is>
          <t>PE</t>
        </is>
      </c>
      <c r="C25" t="inlineStr">
        <is>
          <t>09:51:01</t>
        </is>
      </c>
      <c r="D25" t="inlineStr">
        <is>
          <t>10:03:00</t>
        </is>
      </c>
      <c r="E25" t="n">
        <v>85.3</v>
      </c>
      <c r="F25" t="n">
        <v>86.34999999999999</v>
      </c>
      <c r="G25" t="n">
        <v>92129.42</v>
      </c>
      <c r="H25" t="n">
        <v>100000</v>
      </c>
      <c r="I25" t="n">
        <v>70000</v>
      </c>
      <c r="J25" t="inlineStr">
        <is>
          <t>EXECUTED</t>
        </is>
      </c>
      <c r="K25" t="n">
        <v>25.03</v>
      </c>
      <c r="L25" t="n">
        <v>-5.86</v>
      </c>
      <c r="M25">
        <f>HYPERLINK("../../data_st50/DEC09_DYNAMIC/DEC05/OTM/NIFTY25D0926050PE_strategy.html", "View")</f>
        <v/>
      </c>
      <c r="N25" t="inlineStr"/>
      <c r="O25" t="inlineStr"/>
      <c r="P25" t="inlineStr">
        <is>
          <t>BEARISH</t>
        </is>
      </c>
      <c r="Q25" t="inlineStr">
        <is>
          <t>INCLUDED (HYBRID_NEUTRAL_ZONE)</t>
        </is>
      </c>
      <c r="R25" t="n">
        <v>1.23</v>
      </c>
      <c r="S25" t="inlineStr">
        <is>
          <t>SuperTrend Stop Loss Exit</t>
        </is>
      </c>
      <c r="T25" t="n">
        <v>0.3086</v>
      </c>
      <c r="U25" t="n">
        <v>0.4962</v>
      </c>
      <c r="V25" t="inlineStr">
        <is>
          <t>2025-12-05</t>
        </is>
      </c>
      <c r="W25" t="inlineStr">
        <is>
          <t>Between R1 and S1</t>
        </is>
      </c>
      <c r="X25" t="n">
        <v>26046.35</v>
      </c>
      <c r="Y25" t="n">
        <v>26108.35</v>
      </c>
      <c r="Z25" t="n">
        <v>25949.05</v>
      </c>
      <c r="AA25" t="n">
        <v>26182.95</v>
      </c>
      <c r="AB25" t="n">
        <v>25864.35</v>
      </c>
      <c r="AC25" t="n">
        <v>26267.65</v>
      </c>
      <c r="AD25" t="n">
        <v>25789.75</v>
      </c>
    </row>
    <row r="26">
      <c r="A26">
        <f>HYPERLINK("../../data_st50/DEC09_DYNAMIC/DEC05/OTM/NIFTY25D0926000PE_strategy.csv", "NIFTY25D0926000PE")</f>
        <v/>
      </c>
      <c r="B26" t="inlineStr">
        <is>
          <t>PE</t>
        </is>
      </c>
      <c r="C26" t="inlineStr">
        <is>
          <t>09:37:01</t>
        </is>
      </c>
      <c r="D26" t="inlineStr">
        <is>
          <t>09:44:00</t>
        </is>
      </c>
      <c r="E26" t="n">
        <v>72.5</v>
      </c>
      <c r="F26" t="n">
        <v>65.98</v>
      </c>
      <c r="G26" t="n">
        <v>91010</v>
      </c>
      <c r="H26" t="n">
        <v>100000</v>
      </c>
      <c r="I26" t="n">
        <v>70000</v>
      </c>
      <c r="J26" t="inlineStr">
        <is>
          <t>EXECUTED</t>
        </is>
      </c>
      <c r="K26" t="n">
        <v>3.66</v>
      </c>
      <c r="L26" t="n">
        <v>-12.76</v>
      </c>
      <c r="M26">
        <f>HYPERLINK("../../data_st50/DEC09_DYNAMIC/DEC05/OTM/NIFTY25D0926000PE_strategy.html", "View")</f>
        <v/>
      </c>
      <c r="N26" t="inlineStr"/>
      <c r="O26" t="inlineStr"/>
      <c r="P26" t="inlineStr">
        <is>
          <t>NEUTRAL</t>
        </is>
      </c>
      <c r="Q26" t="inlineStr">
        <is>
          <t>INCLUDED</t>
        </is>
      </c>
      <c r="R26" t="n">
        <v>-8.99</v>
      </c>
      <c r="S26" t="inlineStr">
        <is>
          <t>Fixed Stop Loss</t>
        </is>
      </c>
      <c r="T26" t="n">
        <v>0.4134</v>
      </c>
      <c r="U26" t="inlineStr"/>
      <c r="V26" t="inlineStr">
        <is>
          <t>2025-12-05</t>
        </is>
      </c>
      <c r="W26" t="inlineStr">
        <is>
          <t>Between R1 and S1</t>
        </is>
      </c>
      <c r="X26" t="n">
        <v>26029.3</v>
      </c>
      <c r="Y26" t="n">
        <v>26108.35</v>
      </c>
      <c r="Z26" t="n">
        <v>25949.05</v>
      </c>
      <c r="AA26" t="n">
        <v>26182.95</v>
      </c>
      <c r="AB26" t="n">
        <v>25864.35</v>
      </c>
      <c r="AC26" t="n">
        <v>26267.65</v>
      </c>
      <c r="AD26" t="n">
        <v>25789.75</v>
      </c>
    </row>
    <row r="27">
      <c r="A27">
        <f>HYPERLINK("../../data_st50/DEC09_DYNAMIC/DEC08/OTM/NIFTY25D0926100CE_strategy.csv", "NIFTY25D0926100CE")</f>
        <v/>
      </c>
      <c r="B27" t="inlineStr">
        <is>
          <t>CE</t>
        </is>
      </c>
      <c r="C27" t="inlineStr">
        <is>
          <t>11:11:01</t>
        </is>
      </c>
      <c r="D27" t="inlineStr">
        <is>
          <t>11:42:00</t>
        </is>
      </c>
      <c r="E27" t="n">
        <v>69.3</v>
      </c>
      <c r="F27" t="n">
        <v>63.06</v>
      </c>
      <c r="G27" t="n">
        <v>68567.42999999999</v>
      </c>
      <c r="H27" t="n">
        <v>100000</v>
      </c>
      <c r="I27" t="n">
        <v>70000</v>
      </c>
      <c r="J27" t="inlineStr">
        <is>
          <t>EXECUTED</t>
        </is>
      </c>
      <c r="K27" t="n">
        <v>4.04</v>
      </c>
      <c r="L27" t="n">
        <v>-10.17</v>
      </c>
      <c r="M27">
        <f>HYPERLINK("../../data_st50/DEC09_DYNAMIC/DEC08/OTM/NIFTY25D0926100CE_strategy.html", "View")</f>
        <v/>
      </c>
      <c r="N27" t="inlineStr"/>
      <c r="O27" t="inlineStr"/>
      <c r="P27" t="inlineStr">
        <is>
          <t>NEUTRAL</t>
        </is>
      </c>
      <c r="Q27" t="inlineStr">
        <is>
          <t>INCLUDED</t>
        </is>
      </c>
      <c r="R27" t="n">
        <v>-9</v>
      </c>
      <c r="S27" t="inlineStr">
        <is>
          <t>Fixed Stop Loss</t>
        </is>
      </c>
      <c r="T27" t="n">
        <v>0.289</v>
      </c>
      <c r="U27" t="inlineStr"/>
      <c r="V27" t="inlineStr">
        <is>
          <t>2025-12-08</t>
        </is>
      </c>
      <c r="W27" t="inlineStr">
        <is>
          <t>Between R1 and S1</t>
        </is>
      </c>
      <c r="X27" t="n">
        <v>26072.05</v>
      </c>
      <c r="Y27" t="n">
        <v>26264.25</v>
      </c>
      <c r="Z27" t="n">
        <v>26047</v>
      </c>
      <c r="AA27" t="n">
        <v>26342.05</v>
      </c>
      <c r="AB27" t="n">
        <v>25907.55</v>
      </c>
      <c r="AC27" t="n">
        <v>26481.5</v>
      </c>
      <c r="AD27" t="n">
        <v>25829.75</v>
      </c>
    </row>
    <row r="28">
      <c r="A28">
        <f>HYPERLINK("../../data_st50/DEC09_DYNAMIC/DEC08/OTM/NIFTY25D0926100CE_strategy.csv", "NIFTY25D0926100CE")</f>
        <v/>
      </c>
      <c r="B28" t="inlineStr">
        <is>
          <t>CE</t>
        </is>
      </c>
      <c r="C28" t="inlineStr">
        <is>
          <t>10:54:01</t>
        </is>
      </c>
      <c r="D28" t="inlineStr">
        <is>
          <t>10:58:00</t>
        </is>
      </c>
      <c r="E28" t="n">
        <v>80.34999999999999</v>
      </c>
      <c r="F28" t="n">
        <v>73.12</v>
      </c>
      <c r="G28" t="n">
        <v>75348.82000000001</v>
      </c>
      <c r="H28" t="n">
        <v>100000</v>
      </c>
      <c r="I28" t="n">
        <v>70000</v>
      </c>
      <c r="J28" t="inlineStr">
        <is>
          <t>EXECUTED</t>
        </is>
      </c>
      <c r="K28" t="n">
        <v>2.68</v>
      </c>
      <c r="L28" t="n">
        <v>-10.45</v>
      </c>
      <c r="M28">
        <f>HYPERLINK("../../data_st50/DEC09_DYNAMIC/DEC08/OTM/NIFTY25D0926100CE_strategy.html", "View")</f>
        <v/>
      </c>
      <c r="N28" t="inlineStr"/>
      <c r="O28" t="inlineStr"/>
      <c r="P28" t="inlineStr">
        <is>
          <t>NEUTRAL</t>
        </is>
      </c>
      <c r="Q28" t="inlineStr">
        <is>
          <t>INCLUDED</t>
        </is>
      </c>
      <c r="R28" t="n">
        <v>-9</v>
      </c>
      <c r="S28" t="inlineStr">
        <is>
          <t>Fixed Stop Loss</t>
        </is>
      </c>
      <c r="T28" t="n">
        <v>0.6616</v>
      </c>
      <c r="U28" t="inlineStr"/>
      <c r="V28" t="inlineStr">
        <is>
          <t>2025-12-08</t>
        </is>
      </c>
      <c r="W28" t="inlineStr">
        <is>
          <t>Between R1 and S1</t>
        </is>
      </c>
      <c r="X28" t="n">
        <v>26094.35</v>
      </c>
      <c r="Y28" t="n">
        <v>26264.25</v>
      </c>
      <c r="Z28" t="n">
        <v>26047</v>
      </c>
      <c r="AA28" t="n">
        <v>26342.05</v>
      </c>
      <c r="AB28" t="n">
        <v>25907.55</v>
      </c>
      <c r="AC28" t="n">
        <v>26481.5</v>
      </c>
      <c r="AD28" t="n">
        <v>25829.75</v>
      </c>
    </row>
    <row r="29">
      <c r="A29">
        <f>HYPERLINK("../../data_st50/DEC09_DYNAMIC/DEC08/OTM/NIFTY25D0926100PE_strategy.csv", "NIFTY25D0926100PE")</f>
        <v/>
      </c>
      <c r="B29" t="inlineStr">
        <is>
          <t>PE</t>
        </is>
      </c>
      <c r="C29" t="inlineStr">
        <is>
          <t>10:18:01</t>
        </is>
      </c>
      <c r="D29" t="inlineStr">
        <is>
          <t>10:22:00</t>
        </is>
      </c>
      <c r="E29" t="n">
        <v>63.85</v>
      </c>
      <c r="F29" t="n">
        <v>58.1</v>
      </c>
      <c r="G29" t="n">
        <v>82800.89999999999</v>
      </c>
      <c r="H29" t="n">
        <v>100000</v>
      </c>
      <c r="I29" t="n">
        <v>70000</v>
      </c>
      <c r="J29" t="inlineStr">
        <is>
          <t>EXECUTED</t>
        </is>
      </c>
      <c r="K29" t="n">
        <v>3.05</v>
      </c>
      <c r="L29" t="n">
        <v>-17.31</v>
      </c>
      <c r="M29">
        <f>HYPERLINK("../../data_st50/DEC09_DYNAMIC/DEC08/OTM/NIFTY25D0926100PE_strategy.html", "View")</f>
        <v/>
      </c>
      <c r="N29" t="inlineStr"/>
      <c r="O29" t="inlineStr"/>
      <c r="P29" t="inlineStr">
        <is>
          <t>NEUTRAL</t>
        </is>
      </c>
      <c r="Q29" t="inlineStr">
        <is>
          <t>INCLUDED</t>
        </is>
      </c>
      <c r="R29" t="n">
        <v>-9.01</v>
      </c>
      <c r="S29" t="inlineStr">
        <is>
          <t>Fixed Stop Loss</t>
        </is>
      </c>
      <c r="T29" t="n">
        <v>0.3793</v>
      </c>
      <c r="U29" t="inlineStr"/>
      <c r="V29" t="inlineStr">
        <is>
          <t>2025-12-08</t>
        </is>
      </c>
      <c r="W29" t="inlineStr">
        <is>
          <t>Between R1 and S1</t>
        </is>
      </c>
      <c r="X29" t="n">
        <v>26085.45</v>
      </c>
      <c r="Y29" t="n">
        <v>26264.25</v>
      </c>
      <c r="Z29" t="n">
        <v>26047</v>
      </c>
      <c r="AA29" t="n">
        <v>26342.05</v>
      </c>
      <c r="AB29" t="n">
        <v>25907.55</v>
      </c>
      <c r="AC29" t="n">
        <v>26481.5</v>
      </c>
      <c r="AD29" t="n">
        <v>25829.75</v>
      </c>
    </row>
    <row r="30">
      <c r="A30">
        <f>HYPERLINK("../../data_st50/DEC09_DYNAMIC/DEC08/OTM/NIFTY25D0926150CE_strategy.csv", "NIFTY25D0926150CE")</f>
        <v/>
      </c>
      <c r="B30" t="inlineStr">
        <is>
          <t>CE</t>
        </is>
      </c>
      <c r="C30" t="inlineStr">
        <is>
          <t>09:44:01</t>
        </is>
      </c>
      <c r="D30" t="inlineStr">
        <is>
          <t>09:46:00</t>
        </is>
      </c>
      <c r="E30" t="n">
        <v>73.84999999999999</v>
      </c>
      <c r="F30" t="n">
        <v>67.2</v>
      </c>
      <c r="G30" t="n">
        <v>91000</v>
      </c>
      <c r="H30" t="n">
        <v>100000</v>
      </c>
      <c r="I30" t="n">
        <v>70000</v>
      </c>
      <c r="J30" t="inlineStr">
        <is>
          <t>EXECUTED</t>
        </is>
      </c>
      <c r="K30" t="n">
        <v>0.68</v>
      </c>
      <c r="L30" t="n">
        <v>-11.65</v>
      </c>
      <c r="M30">
        <f>HYPERLINK("../../data_st50/DEC09_DYNAMIC/DEC08/OTM/NIFTY25D0926150CE_strategy.html", "View")</f>
        <v/>
      </c>
      <c r="N30" t="inlineStr"/>
      <c r="O30" t="inlineStr"/>
      <c r="P30" t="inlineStr">
        <is>
          <t>NEUTRAL</t>
        </is>
      </c>
      <c r="Q30" t="inlineStr">
        <is>
          <t>INCLUDED</t>
        </is>
      </c>
      <c r="R30" t="n">
        <v>-9</v>
      </c>
      <c r="S30" t="inlineStr">
        <is>
          <t>Fixed Stop Loss</t>
        </is>
      </c>
      <c r="T30" t="n">
        <v>0.4299</v>
      </c>
      <c r="U30" t="inlineStr"/>
      <c r="V30" t="inlineStr">
        <is>
          <t>2025-12-08</t>
        </is>
      </c>
      <c r="W30" t="inlineStr">
        <is>
          <t>Between R1 and S1</t>
        </is>
      </c>
      <c r="X30" t="n">
        <v>26130.35</v>
      </c>
      <c r="Y30" t="n">
        <v>26264.25</v>
      </c>
      <c r="Z30" t="n">
        <v>26047</v>
      </c>
      <c r="AA30" t="n">
        <v>26342.05</v>
      </c>
      <c r="AB30" t="n">
        <v>25907.55</v>
      </c>
      <c r="AC30" t="n">
        <v>26481.5</v>
      </c>
      <c r="AD30" t="n">
        <v>25829.75</v>
      </c>
    </row>
    <row r="31">
      <c r="A31">
        <f>HYPERLINK("../../data_st50/DEC16_DYNAMIC/DEC10/OTM/NIFTY25D1625800PE_strategy.csv", "NIFTY25D1625800PE")</f>
        <v/>
      </c>
      <c r="B31" t="inlineStr">
        <is>
          <t>PE</t>
        </is>
      </c>
      <c r="C31" t="inlineStr">
        <is>
          <t>13:40:01</t>
        </is>
      </c>
      <c r="D31" t="inlineStr">
        <is>
          <t>14:33:00</t>
        </is>
      </c>
      <c r="E31" t="n">
        <v>99.40000000000001</v>
      </c>
      <c r="F31" t="n">
        <v>125.46</v>
      </c>
      <c r="G31" t="n">
        <v>157734.58</v>
      </c>
      <c r="H31" t="n">
        <v>157734.58</v>
      </c>
      <c r="I31" t="n">
        <v>110414.2</v>
      </c>
      <c r="J31" t="inlineStr">
        <is>
          <t>EXECUTED</t>
        </is>
      </c>
      <c r="K31" t="n">
        <v>46.88</v>
      </c>
      <c r="L31" t="n">
        <v>-13.83</v>
      </c>
      <c r="M31">
        <f>HYPERLINK("../../data_st50/DEC16_DYNAMIC/DEC10/OTM/NIFTY25D1625800PE_strategy.html", "View")</f>
        <v/>
      </c>
      <c r="N31" t="inlineStr"/>
      <c r="O31" t="inlineStr"/>
      <c r="P31" t="inlineStr">
        <is>
          <t>NEUTRAL</t>
        </is>
      </c>
      <c r="Q31" t="inlineStr">
        <is>
          <t>INCLUDED</t>
        </is>
      </c>
      <c r="R31" t="n">
        <v>26.22</v>
      </c>
      <c r="S31" t="inlineStr">
        <is>
          <t>SuperTrend Stop Loss Exit</t>
        </is>
      </c>
      <c r="T31" t="n">
        <v>0.4282</v>
      </c>
      <c r="U31" t="n">
        <v>0.6805</v>
      </c>
      <c r="V31" t="inlineStr">
        <is>
          <t>2025-12-10</t>
        </is>
      </c>
      <c r="W31" t="inlineStr">
        <is>
          <t>Between R1 and S1</t>
        </is>
      </c>
      <c r="X31" t="n">
        <v>25836.65</v>
      </c>
      <c r="Y31" t="n">
        <v>25932.87</v>
      </c>
      <c r="Z31" t="n">
        <v>25737.22</v>
      </c>
      <c r="AA31" t="n">
        <v>26026.08</v>
      </c>
      <c r="AB31" t="n">
        <v>25634.78</v>
      </c>
      <c r="AC31" t="n">
        <v>26128.52</v>
      </c>
      <c r="AD31" t="n">
        <v>25541.57</v>
      </c>
    </row>
    <row r="32">
      <c r="A32">
        <f>HYPERLINK("../../data_st50/DEC16_DYNAMIC/DEC10/OTM/NIFTY25D1625800PE_strategy.csv", "NIFTY25D1625800PE")</f>
        <v/>
      </c>
      <c r="B32" t="inlineStr">
        <is>
          <t>PE</t>
        </is>
      </c>
      <c r="C32" t="inlineStr">
        <is>
          <t>13:15:01</t>
        </is>
      </c>
      <c r="D32" t="inlineStr">
        <is>
          <t>13:19:00</t>
        </is>
      </c>
      <c r="E32" t="n">
        <v>113.55</v>
      </c>
      <c r="F32" t="n">
        <v>103.33</v>
      </c>
      <c r="G32" t="n">
        <v>124967.97</v>
      </c>
      <c r="H32" t="n">
        <v>137327.44</v>
      </c>
      <c r="I32" t="n">
        <v>96129.21000000001</v>
      </c>
      <c r="J32" t="inlineStr">
        <is>
          <t>EXECUTED</t>
        </is>
      </c>
      <c r="K32" t="n">
        <v>0.84</v>
      </c>
      <c r="L32" t="n">
        <v>-5.81</v>
      </c>
      <c r="M32">
        <f>HYPERLINK("../../data_st50/DEC16_DYNAMIC/DEC10/OTM/NIFTY25D1625800PE_strategy.html", "View")</f>
        <v/>
      </c>
      <c r="N32" t="inlineStr"/>
      <c r="O32" t="inlineStr"/>
      <c r="P32" t="inlineStr">
        <is>
          <t>BULLISH</t>
        </is>
      </c>
      <c r="Q32" t="inlineStr">
        <is>
          <t>INCLUDED (HYBRID_NEUTRAL_ZONE)</t>
        </is>
      </c>
      <c r="R32" t="n">
        <v>-9</v>
      </c>
      <c r="S32" t="inlineStr">
        <is>
          <t>Fixed Stop Loss</t>
        </is>
      </c>
      <c r="T32" t="n">
        <v>0.3738</v>
      </c>
      <c r="U32" t="inlineStr"/>
      <c r="V32" t="inlineStr">
        <is>
          <t>2025-12-10</t>
        </is>
      </c>
      <c r="W32" t="inlineStr">
        <is>
          <t>Between R1 and S1</t>
        </is>
      </c>
      <c r="X32" t="n">
        <v>25802</v>
      </c>
      <c r="Y32" t="n">
        <v>25932.87</v>
      </c>
      <c r="Z32" t="n">
        <v>25737.22</v>
      </c>
      <c r="AA32" t="n">
        <v>26026.08</v>
      </c>
      <c r="AB32" t="n">
        <v>25634.78</v>
      </c>
      <c r="AC32" t="n">
        <v>26128.52</v>
      </c>
      <c r="AD32" t="n">
        <v>25541.57</v>
      </c>
    </row>
    <row r="33">
      <c r="A33">
        <f>HYPERLINK("../../data_st50/DEC16_DYNAMIC/DEC10/OTM/NIFTY25D1625850PE_strategy.csv", "NIFTY25D1625850PE")</f>
        <v/>
      </c>
      <c r="B33" t="inlineStr">
        <is>
          <t>PE</t>
        </is>
      </c>
      <c r="C33" t="inlineStr">
        <is>
          <t>11:19:01</t>
        </is>
      </c>
      <c r="D33" t="inlineStr">
        <is>
          <t>12:03:00</t>
        </is>
      </c>
      <c r="E33" t="n">
        <v>107.4</v>
      </c>
      <c r="F33" t="n">
        <v>128.3</v>
      </c>
      <c r="G33" t="n">
        <v>137327.44</v>
      </c>
      <c r="H33" t="n">
        <v>137327.44</v>
      </c>
      <c r="I33" t="n">
        <v>96129.21000000001</v>
      </c>
      <c r="J33" t="inlineStr">
        <is>
          <t>EXECUTED</t>
        </is>
      </c>
      <c r="K33" t="n">
        <v>23.42</v>
      </c>
      <c r="L33" t="n">
        <v>-6.61</v>
      </c>
      <c r="M33">
        <f>HYPERLINK("../../data_st50/DEC16_DYNAMIC/DEC10/OTM/NIFTY25D1625850PE_strategy.html", "View")</f>
        <v/>
      </c>
      <c r="N33" t="inlineStr"/>
      <c r="O33" t="inlineStr"/>
      <c r="P33" t="inlineStr">
        <is>
          <t>BEARISH</t>
        </is>
      </c>
      <c r="Q33" t="inlineStr">
        <is>
          <t>INCLUDED (HYBRID_NEUTRAL_ZONE)</t>
        </is>
      </c>
      <c r="R33" t="n">
        <v>19.46</v>
      </c>
      <c r="S33" t="inlineStr">
        <is>
          <t>Dynamic Trailing MA (Fast/Slow MA)</t>
        </is>
      </c>
      <c r="T33" t="n">
        <v>0.4004</v>
      </c>
      <c r="U33" t="n">
        <v>0.6672</v>
      </c>
      <c r="V33" t="inlineStr">
        <is>
          <t>2025-12-10</t>
        </is>
      </c>
      <c r="W33" t="inlineStr">
        <is>
          <t>Between R1 and S1</t>
        </is>
      </c>
      <c r="X33" t="n">
        <v>25869.55</v>
      </c>
      <c r="Y33" t="n">
        <v>25932.87</v>
      </c>
      <c r="Z33" t="n">
        <v>25737.22</v>
      </c>
      <c r="AA33" t="n">
        <v>26026.08</v>
      </c>
      <c r="AB33" t="n">
        <v>25634.78</v>
      </c>
      <c r="AC33" t="n">
        <v>26128.52</v>
      </c>
      <c r="AD33" t="n">
        <v>25541.57</v>
      </c>
    </row>
    <row r="34">
      <c r="A34">
        <f>HYPERLINK("../../data_st50/DEC16_DYNAMIC/DEC10/OTM/NIFTY25D1625900PE_strategy.csv", "NIFTY25D1625900PE")</f>
        <v/>
      </c>
      <c r="B34" t="inlineStr">
        <is>
          <t>PE</t>
        </is>
      </c>
      <c r="C34" t="inlineStr">
        <is>
          <t>10:29:01</t>
        </is>
      </c>
      <c r="D34" t="inlineStr">
        <is>
          <t>11:05:00</t>
        </is>
      </c>
      <c r="E34" t="n">
        <v>96.7</v>
      </c>
      <c r="F34" t="n">
        <v>134.24</v>
      </c>
      <c r="G34" t="n">
        <v>114956.84</v>
      </c>
      <c r="H34" t="n">
        <v>114956.84</v>
      </c>
      <c r="I34" t="n">
        <v>80469.78999999999</v>
      </c>
      <c r="J34" t="inlineStr">
        <is>
          <t>EXECUTED</t>
        </is>
      </c>
      <c r="K34" t="n">
        <v>63.6</v>
      </c>
      <c r="L34" t="n">
        <v>-9.93</v>
      </c>
      <c r="M34">
        <f>HYPERLINK("../../data_st50/DEC16_DYNAMIC/DEC10/OTM/NIFTY25D1625900PE_strategy.html", "View")</f>
        <v/>
      </c>
      <c r="N34" t="inlineStr"/>
      <c r="O34" t="inlineStr"/>
      <c r="P34" t="inlineStr">
        <is>
          <t>NEUTRAL</t>
        </is>
      </c>
      <c r="Q34" t="inlineStr">
        <is>
          <t>INCLUDED</t>
        </is>
      </c>
      <c r="R34" t="n">
        <v>38.82</v>
      </c>
      <c r="S34" t="inlineStr">
        <is>
          <t>SuperTrend Stop Loss Exit</t>
        </is>
      </c>
      <c r="T34" t="n">
        <v>0.5553</v>
      </c>
      <c r="U34" t="n">
        <v>0.8008</v>
      </c>
      <c r="V34" t="inlineStr">
        <is>
          <t>2025-12-10</t>
        </is>
      </c>
      <c r="W34" t="inlineStr">
        <is>
          <t>Between R1 and S1</t>
        </is>
      </c>
      <c r="X34" t="n">
        <v>25918.9</v>
      </c>
      <c r="Y34" t="n">
        <v>25932.87</v>
      </c>
      <c r="Z34" t="n">
        <v>25737.22</v>
      </c>
      <c r="AA34" t="n">
        <v>26026.08</v>
      </c>
      <c r="AB34" t="n">
        <v>25634.78</v>
      </c>
      <c r="AC34" t="n">
        <v>26128.52</v>
      </c>
      <c r="AD34" t="n">
        <v>25541.57</v>
      </c>
    </row>
    <row r="35">
      <c r="A35">
        <f>HYPERLINK("../../data_st50/DEC16_DYNAMIC/DEC10/OTM/NIFTY25D1625900PE_strategy.csv", "NIFTY25D1625900PE")</f>
        <v/>
      </c>
      <c r="B35" t="inlineStr">
        <is>
          <t>PE</t>
        </is>
      </c>
      <c r="C35" t="inlineStr">
        <is>
          <t>09:50:01</t>
        </is>
      </c>
      <c r="D35" t="inlineStr">
        <is>
          <t>10:03:00</t>
        </is>
      </c>
      <c r="E35" t="n">
        <v>113.7</v>
      </c>
      <c r="F35" t="n">
        <v>103.47</v>
      </c>
      <c r="G35" t="n">
        <v>82810</v>
      </c>
      <c r="H35" t="n">
        <v>100000</v>
      </c>
      <c r="I35" t="n">
        <v>70000</v>
      </c>
      <c r="J35" t="inlineStr">
        <is>
          <t>EXECUTED</t>
        </is>
      </c>
      <c r="K35" t="n">
        <v>5.54</v>
      </c>
      <c r="L35" t="n">
        <v>-12.66</v>
      </c>
      <c r="M35">
        <f>HYPERLINK("../../data_st50/DEC16_DYNAMIC/DEC10/OTM/NIFTY25D1625900PE_strategy.html", "View")</f>
        <v/>
      </c>
      <c r="N35" t="inlineStr"/>
      <c r="O35" t="inlineStr"/>
      <c r="P35" t="inlineStr">
        <is>
          <t>NEUTRAL</t>
        </is>
      </c>
      <c r="Q35" t="inlineStr">
        <is>
          <t>INCLUDED</t>
        </is>
      </c>
      <c r="R35" t="n">
        <v>-9</v>
      </c>
      <c r="S35" t="inlineStr">
        <is>
          <t>Fixed Stop Loss</t>
        </is>
      </c>
      <c r="T35" t="n">
        <v>0.5794</v>
      </c>
      <c r="U35" t="inlineStr"/>
      <c r="V35" t="inlineStr">
        <is>
          <t>2025-12-10</t>
        </is>
      </c>
      <c r="W35" t="inlineStr">
        <is>
          <t>Between R1 and S1</t>
        </is>
      </c>
      <c r="X35" t="n">
        <v>25890.65</v>
      </c>
      <c r="Y35" t="n">
        <v>25932.87</v>
      </c>
      <c r="Z35" t="n">
        <v>25737.22</v>
      </c>
      <c r="AA35" t="n">
        <v>26026.08</v>
      </c>
      <c r="AB35" t="n">
        <v>25634.78</v>
      </c>
      <c r="AC35" t="n">
        <v>26128.52</v>
      </c>
      <c r="AD35" t="n">
        <v>25541.57</v>
      </c>
    </row>
    <row r="36">
      <c r="A36">
        <f>HYPERLINK("../../data_st50/DEC16_DYNAMIC/DEC10/OTM/NIFTY25D1625850PE_strategy.csv", "NIFTY25D1625850PE")</f>
        <v/>
      </c>
      <c r="B36" t="inlineStr">
        <is>
          <t>PE</t>
        </is>
      </c>
      <c r="C36" t="inlineStr">
        <is>
          <t>09:25:01</t>
        </is>
      </c>
      <c r="D36" t="inlineStr">
        <is>
          <t>09:27:00</t>
        </is>
      </c>
      <c r="E36" t="n">
        <v>118.15</v>
      </c>
      <c r="F36" t="n">
        <v>107.52</v>
      </c>
      <c r="G36" t="n">
        <v>91000</v>
      </c>
      <c r="H36" t="n">
        <v>100000</v>
      </c>
      <c r="I36" t="n">
        <v>70000</v>
      </c>
      <c r="J36" t="inlineStr">
        <is>
          <t>EXECUTED</t>
        </is>
      </c>
      <c r="K36" t="n">
        <v>1.44</v>
      </c>
      <c r="L36" t="n">
        <v>-12.44</v>
      </c>
      <c r="M36">
        <f>HYPERLINK("../../data_st50/DEC16_DYNAMIC/DEC10/OTM/NIFTY25D1625850PE_strategy.html", "View")</f>
        <v/>
      </c>
      <c r="N36" t="inlineStr"/>
      <c r="O36" t="inlineStr"/>
      <c r="P36" t="inlineStr">
        <is>
          <t>BEARISH</t>
        </is>
      </c>
      <c r="Q36" t="inlineStr">
        <is>
          <t>INCLUDED (HYBRID_NEUTRAL_ZONE)</t>
        </is>
      </c>
      <c r="R36" t="n">
        <v>-9</v>
      </c>
      <c r="S36" t="inlineStr">
        <is>
          <t>Fixed Stop Loss</t>
        </is>
      </c>
      <c r="T36" t="n">
        <v>0.701</v>
      </c>
      <c r="U36" t="inlineStr"/>
      <c r="V36" t="inlineStr">
        <is>
          <t>2025-12-10</t>
        </is>
      </c>
      <c r="W36" t="inlineStr">
        <is>
          <t>Between R1 and S1</t>
        </is>
      </c>
      <c r="X36" t="n">
        <v>25854.2</v>
      </c>
      <c r="Y36" t="n">
        <v>25932.87</v>
      </c>
      <c r="Z36" t="n">
        <v>25737.22</v>
      </c>
      <c r="AA36" t="n">
        <v>26026.08</v>
      </c>
      <c r="AB36" t="n">
        <v>25634.78</v>
      </c>
      <c r="AC36" t="n">
        <v>26128.52</v>
      </c>
      <c r="AD36" t="n">
        <v>25541.57</v>
      </c>
    </row>
    <row r="37">
      <c r="A37">
        <f>HYPERLINK("../../data_st50/DEC16_DYNAMIC/DEC11/OTM/NIFTY25D1625900CE_strategy.csv", "NIFTY25D1625900CE")</f>
        <v/>
      </c>
      <c r="B37" t="inlineStr">
        <is>
          <t>CE</t>
        </is>
      </c>
      <c r="C37" t="inlineStr">
        <is>
          <t>13:16:01</t>
        </is>
      </c>
      <c r="D37" t="inlineStr">
        <is>
          <t>13:52:00</t>
        </is>
      </c>
      <c r="E37" t="n">
        <v>107.8</v>
      </c>
      <c r="F37" t="n">
        <v>117.7</v>
      </c>
      <c r="G37" t="n">
        <v>128768.39</v>
      </c>
      <c r="H37" t="n">
        <v>128768.39</v>
      </c>
      <c r="I37" t="n">
        <v>90137.87</v>
      </c>
      <c r="J37" t="inlineStr">
        <is>
          <t>EXECUTED</t>
        </is>
      </c>
      <c r="K37" t="n">
        <v>12.01</v>
      </c>
      <c r="L37" t="n">
        <v>-11.87</v>
      </c>
      <c r="M37">
        <f>HYPERLINK("../../data_st50/DEC16_DYNAMIC/DEC11/OTM/NIFTY25D1625900CE_strategy.html", "View")</f>
        <v/>
      </c>
      <c r="N37" t="inlineStr"/>
      <c r="O37" t="inlineStr"/>
      <c r="P37" t="inlineStr">
        <is>
          <t>BULLISH</t>
        </is>
      </c>
      <c r="Q37" t="inlineStr">
        <is>
          <t>INCLUDED (HYBRID_NEUTRAL_ZONE)</t>
        </is>
      </c>
      <c r="R37" t="n">
        <v>9.18</v>
      </c>
      <c r="S37" t="inlineStr">
        <is>
          <t>Dynamic Trailing MA (Fast/Slow MA)</t>
        </is>
      </c>
      <c r="T37" t="n">
        <v>0.3485</v>
      </c>
      <c r="U37" t="n">
        <v>0.7262</v>
      </c>
      <c r="V37" t="inlineStr">
        <is>
          <t>2025-12-11</t>
        </is>
      </c>
      <c r="W37" t="inlineStr">
        <is>
          <t>Between R1 and S1</t>
        </is>
      </c>
      <c r="X37" t="n">
        <v>25859.75</v>
      </c>
      <c r="Y37" t="n">
        <v>25892.25</v>
      </c>
      <c r="Z37" t="n">
        <v>25679.15</v>
      </c>
      <c r="AA37" t="n">
        <v>26026.5</v>
      </c>
      <c r="AB37" t="n">
        <v>25600.3</v>
      </c>
      <c r="AC37" t="n">
        <v>26105.35</v>
      </c>
      <c r="AD37" t="n">
        <v>25466.05</v>
      </c>
    </row>
    <row r="38">
      <c r="A38">
        <f>HYPERLINK("../../data_st50/DEC16_DYNAMIC/DEC11/OTM/NIFTY25D1625800PE_strategy.csv", "NIFTY25D1625800PE")</f>
        <v/>
      </c>
      <c r="B38" t="inlineStr">
        <is>
          <t>PE</t>
        </is>
      </c>
      <c r="C38" t="inlineStr">
        <is>
          <t>11:55:01</t>
        </is>
      </c>
      <c r="D38" t="inlineStr">
        <is>
          <t>11:57:00</t>
        </is>
      </c>
      <c r="E38" t="n">
        <v>79.5</v>
      </c>
      <c r="F38" t="n">
        <v>75.3</v>
      </c>
      <c r="G38" t="n">
        <v>104409.86</v>
      </c>
      <c r="H38" t="n">
        <v>110230</v>
      </c>
      <c r="I38" t="n">
        <v>77161</v>
      </c>
      <c r="J38" t="inlineStr">
        <is>
          <t>EXECUTED</t>
        </is>
      </c>
      <c r="K38" t="n">
        <v>0.75</v>
      </c>
      <c r="L38" t="n">
        <v>-4.65</v>
      </c>
      <c r="M38">
        <f>HYPERLINK("../../data_st50/DEC16_DYNAMIC/DEC11/OTM/NIFTY25D1625800PE_strategy.html", "View")</f>
        <v/>
      </c>
      <c r="N38" t="inlineStr"/>
      <c r="O38" t="inlineStr"/>
      <c r="P38" t="inlineStr">
        <is>
          <t>BEARISH</t>
        </is>
      </c>
      <c r="Q38" t="inlineStr">
        <is>
          <t>INCLUDED (HYBRID_NEUTRAL_ZONE)</t>
        </is>
      </c>
      <c r="R38" t="n">
        <v>-5.28</v>
      </c>
      <c r="S38" t="inlineStr">
        <is>
          <t>Fixed Stop Loss</t>
        </is>
      </c>
      <c r="T38" t="n">
        <v>0.4202</v>
      </c>
      <c r="U38" t="inlineStr"/>
      <c r="V38" t="inlineStr">
        <is>
          <t>2025-12-11</t>
        </is>
      </c>
      <c r="W38" t="inlineStr">
        <is>
          <t>Between R1 and S1</t>
        </is>
      </c>
      <c r="X38" t="n">
        <v>25843</v>
      </c>
      <c r="Y38" t="n">
        <v>25892.25</v>
      </c>
      <c r="Z38" t="n">
        <v>25679.15</v>
      </c>
      <c r="AA38" t="n">
        <v>26026.5</v>
      </c>
      <c r="AB38" t="n">
        <v>25600.3</v>
      </c>
      <c r="AC38" t="n">
        <v>26105.35</v>
      </c>
      <c r="AD38" t="n">
        <v>25466.05</v>
      </c>
    </row>
    <row r="39">
      <c r="A39">
        <f>HYPERLINK("../../data_st50/DEC16_DYNAMIC/DEC11/OTM/NIFTY25D1625800PE_strategy.csv", "NIFTY25D1625800PE")</f>
        <v/>
      </c>
      <c r="B39" t="inlineStr">
        <is>
          <t>PE</t>
        </is>
      </c>
      <c r="C39" t="inlineStr">
        <is>
          <t>10:44:01</t>
        </is>
      </c>
      <c r="D39" t="inlineStr">
        <is>
          <t>11:17:00</t>
        </is>
      </c>
      <c r="E39" t="n">
        <v>82</v>
      </c>
      <c r="F39" t="n">
        <v>90.39</v>
      </c>
      <c r="G39" t="n">
        <v>110230</v>
      </c>
      <c r="H39" t="n">
        <v>110230</v>
      </c>
      <c r="I39" t="n">
        <v>77161</v>
      </c>
      <c r="J39" t="inlineStr">
        <is>
          <t>EXECUTED</t>
        </is>
      </c>
      <c r="K39" t="n">
        <v>40.12</v>
      </c>
      <c r="L39" t="n">
        <v>-7.38</v>
      </c>
      <c r="M39">
        <f>HYPERLINK("../../data_st50/DEC16_DYNAMIC/DEC11/OTM/NIFTY25D1625800PE_strategy.html", "View")</f>
        <v/>
      </c>
      <c r="N39" t="inlineStr"/>
      <c r="O39" t="inlineStr"/>
      <c r="P39" t="inlineStr">
        <is>
          <t>BULLISH</t>
        </is>
      </c>
      <c r="Q39" t="inlineStr">
        <is>
          <t>INCLUDED (HYBRID_NEUTRAL_ZONE)</t>
        </is>
      </c>
      <c r="R39" t="n">
        <v>10.23</v>
      </c>
      <c r="S39" t="inlineStr">
        <is>
          <t>SuperTrend Stop Loss Exit</t>
        </is>
      </c>
      <c r="T39" t="n">
        <v>0.3328</v>
      </c>
      <c r="U39" t="n">
        <v>0.6146</v>
      </c>
      <c r="V39" t="inlineStr">
        <is>
          <t>2025-12-11</t>
        </is>
      </c>
      <c r="W39" t="inlineStr">
        <is>
          <t>Between R1 and S1</t>
        </is>
      </c>
      <c r="X39" t="n">
        <v>25825.35</v>
      </c>
      <c r="Y39" t="n">
        <v>25892.25</v>
      </c>
      <c r="Z39" t="n">
        <v>25679.15</v>
      </c>
      <c r="AA39" t="n">
        <v>26026.5</v>
      </c>
      <c r="AB39" t="n">
        <v>25600.3</v>
      </c>
      <c r="AC39" t="n">
        <v>26105.35</v>
      </c>
      <c r="AD39" t="n">
        <v>25466.05</v>
      </c>
    </row>
    <row r="40">
      <c r="A40">
        <f>HYPERLINK("../../data_st50/DEC16_DYNAMIC/DEC12/OTM/NIFTY25D1626000CE_strategy.csv", "NIFTY25D1626000CE")</f>
        <v/>
      </c>
      <c r="B40" t="inlineStr">
        <is>
          <t>CE</t>
        </is>
      </c>
      <c r="C40" t="inlineStr">
        <is>
          <t>11:01:01</t>
        </is>
      </c>
      <c r="D40" t="inlineStr">
        <is>
          <t>11:44:00</t>
        </is>
      </c>
      <c r="E40" t="n">
        <v>85.45</v>
      </c>
      <c r="F40" t="n">
        <v>107.5</v>
      </c>
      <c r="G40" t="n">
        <v>104174.98</v>
      </c>
      <c r="H40" t="n">
        <v>104174.98</v>
      </c>
      <c r="I40" t="n">
        <v>72922.49000000001</v>
      </c>
      <c r="J40" t="inlineStr">
        <is>
          <t>EXECUTED</t>
        </is>
      </c>
      <c r="K40" t="n">
        <v>34.58</v>
      </c>
      <c r="L40" t="n">
        <v>-10.18</v>
      </c>
      <c r="M40">
        <f>HYPERLINK("../../data_st50/DEC16_DYNAMIC/DEC12/OTM/NIFTY25D1626000CE_strategy.html", "View")</f>
        <v/>
      </c>
      <c r="N40" t="inlineStr"/>
      <c r="O40" t="inlineStr"/>
      <c r="P40" t="inlineStr">
        <is>
          <t>NEUTRAL</t>
        </is>
      </c>
      <c r="Q40" t="inlineStr">
        <is>
          <t>INCLUDED</t>
        </is>
      </c>
      <c r="R40" t="n">
        <v>25.8</v>
      </c>
      <c r="S40" t="inlineStr">
        <is>
          <t>Dynamic Trailing MA (Fast/Slow MA)</t>
        </is>
      </c>
      <c r="T40" t="n">
        <v>0.4817</v>
      </c>
      <c r="U40" t="n">
        <v>0.7334000000000001</v>
      </c>
      <c r="V40" t="inlineStr">
        <is>
          <t>2025-12-12</t>
        </is>
      </c>
      <c r="W40" t="inlineStr">
        <is>
          <t>Between R1 and S1</t>
        </is>
      </c>
      <c r="X40" t="n">
        <v>25970</v>
      </c>
      <c r="Y40" t="n">
        <v>25983.15</v>
      </c>
      <c r="Z40" t="n">
        <v>25753.6</v>
      </c>
      <c r="AA40" t="n">
        <v>26067.75</v>
      </c>
      <c r="AB40" t="n">
        <v>25608.65</v>
      </c>
      <c r="AC40" t="n">
        <v>26212.7</v>
      </c>
      <c r="AD40" t="n">
        <v>25524.05</v>
      </c>
    </row>
    <row r="41">
      <c r="A41">
        <f>HYPERLINK("../../data_st50/DEC16_DYNAMIC/DEC12/OTM/NIFTY25D1626000CE_strategy.csv", "NIFTY25D1626000CE")</f>
        <v/>
      </c>
      <c r="B41" t="inlineStr">
        <is>
          <t>CE</t>
        </is>
      </c>
      <c r="C41" t="inlineStr">
        <is>
          <t>10:31:01</t>
        </is>
      </c>
      <c r="D41" t="inlineStr">
        <is>
          <t>10:49:00</t>
        </is>
      </c>
      <c r="E41" t="n">
        <v>86.3</v>
      </c>
      <c r="F41" t="n">
        <v>78.53</v>
      </c>
      <c r="G41" t="n">
        <v>82810</v>
      </c>
      <c r="H41" t="n">
        <v>100000</v>
      </c>
      <c r="I41" t="n">
        <v>70000</v>
      </c>
      <c r="J41" t="inlineStr">
        <is>
          <t>EXECUTED</t>
        </is>
      </c>
      <c r="K41" t="n">
        <v>9.27</v>
      </c>
      <c r="L41" t="n">
        <v>-13.67</v>
      </c>
      <c r="M41">
        <f>HYPERLINK("../../data_st50/DEC16_DYNAMIC/DEC12/OTM/NIFTY25D1626000CE_strategy.html", "View")</f>
        <v/>
      </c>
      <c r="N41" t="inlineStr"/>
      <c r="O41" t="inlineStr"/>
      <c r="P41" t="inlineStr">
        <is>
          <t>NEUTRAL</t>
        </is>
      </c>
      <c r="Q41" t="inlineStr">
        <is>
          <t>INCLUDED</t>
        </is>
      </c>
      <c r="R41" t="n">
        <v>-9</v>
      </c>
      <c r="S41" t="inlineStr">
        <is>
          <t>Fixed Stop Loss</t>
        </is>
      </c>
      <c r="T41" t="n">
        <v>0.3106</v>
      </c>
      <c r="U41" t="n">
        <v>0.3119</v>
      </c>
      <c r="V41" t="inlineStr">
        <is>
          <t>2025-12-12</t>
        </is>
      </c>
      <c r="W41" t="inlineStr">
        <is>
          <t>Between R1 and S1</t>
        </is>
      </c>
      <c r="X41" t="n">
        <v>25971.1</v>
      </c>
      <c r="Y41" t="n">
        <v>25983.15</v>
      </c>
      <c r="Z41" t="n">
        <v>25753.6</v>
      </c>
      <c r="AA41" t="n">
        <v>26067.75</v>
      </c>
      <c r="AB41" t="n">
        <v>25608.65</v>
      </c>
      <c r="AC41" t="n">
        <v>26212.7</v>
      </c>
      <c r="AD41" t="n">
        <v>25524.05</v>
      </c>
    </row>
    <row r="42">
      <c r="A42">
        <f>HYPERLINK("../../data_st50/JAN13_DYNAMIC/JAN07/OTM/NIFTY2611326150PE_strategy.csv", "NIFTY2611326150PE")</f>
        <v/>
      </c>
      <c r="B42" t="inlineStr">
        <is>
          <t>PE</t>
        </is>
      </c>
      <c r="C42" t="inlineStr">
        <is>
          <t>11:39:01</t>
        </is>
      </c>
      <c r="D42" t="inlineStr">
        <is>
          <t>12:20:00</t>
        </is>
      </c>
      <c r="E42" t="n">
        <v>84.3</v>
      </c>
      <c r="F42" t="n">
        <v>102.3</v>
      </c>
      <c r="G42" t="n">
        <v>172753.91</v>
      </c>
      <c r="H42" t="n">
        <v>172753.91</v>
      </c>
      <c r="I42" t="n">
        <v>120927.74</v>
      </c>
      <c r="J42" t="inlineStr">
        <is>
          <t>EXECUTED</t>
        </is>
      </c>
      <c r="K42" t="n">
        <v>22.3</v>
      </c>
      <c r="L42" t="n">
        <v>-9.550000000000001</v>
      </c>
      <c r="M42">
        <f>HYPERLINK("../../data_st50/JAN13_DYNAMIC/JAN07/OTM/NIFTY2611326150PE_strategy.html", "View")</f>
        <v/>
      </c>
      <c r="N42" t="inlineStr"/>
      <c r="O42" t="inlineStr"/>
      <c r="P42" t="inlineStr">
        <is>
          <t>NEUTRAL</t>
        </is>
      </c>
      <c r="Q42" t="inlineStr">
        <is>
          <t>INCLUDED</t>
        </is>
      </c>
      <c r="R42" t="n">
        <v>21.35</v>
      </c>
      <c r="S42" t="inlineStr">
        <is>
          <t>Dynamic Trailing MA (Fast/Slow MA)</t>
        </is>
      </c>
      <c r="T42" t="n">
        <v>0.4897</v>
      </c>
      <c r="U42" t="n">
        <v>0.7775</v>
      </c>
      <c r="V42" t="inlineStr">
        <is>
          <t>2026-01-07</t>
        </is>
      </c>
      <c r="W42" t="inlineStr">
        <is>
          <t>Between R1 and S1</t>
        </is>
      </c>
      <c r="X42" t="n">
        <v>26146.1</v>
      </c>
      <c r="Y42" t="n">
        <v>26260.18</v>
      </c>
      <c r="Z42" t="n">
        <v>26110.98</v>
      </c>
      <c r="AA42" t="n">
        <v>26341.67</v>
      </c>
      <c r="AB42" t="n">
        <v>26043.27</v>
      </c>
      <c r="AC42" t="n">
        <v>26409.38</v>
      </c>
      <c r="AD42" t="n">
        <v>25961.78</v>
      </c>
    </row>
    <row r="43">
      <c r="A43">
        <f>HYPERLINK("../../data_st50/JAN13_DYNAMIC/JAN07/OTM/NIFTY2611326150CE_strategy.csv", "NIFTY2611326150CE")</f>
        <v/>
      </c>
      <c r="B43" t="inlineStr">
        <is>
          <t>CE</t>
        </is>
      </c>
      <c r="C43" t="inlineStr">
        <is>
          <t>11:27:01</t>
        </is>
      </c>
      <c r="D43" t="inlineStr">
        <is>
          <t>11:36:00</t>
        </is>
      </c>
      <c r="E43" t="n">
        <v>119.5</v>
      </c>
      <c r="F43" t="n">
        <v>128.45</v>
      </c>
      <c r="G43" t="n">
        <v>142360.04</v>
      </c>
      <c r="H43" t="n">
        <v>142360.04</v>
      </c>
      <c r="I43" t="n">
        <v>99652.03</v>
      </c>
      <c r="J43" t="inlineStr">
        <is>
          <t>EXECUTED</t>
        </is>
      </c>
      <c r="K43" t="n">
        <v>9.83</v>
      </c>
      <c r="L43" t="n">
        <v>-9.539999999999999</v>
      </c>
      <c r="M43">
        <f>HYPERLINK("../../data_st50/JAN13_DYNAMIC/JAN07/OTM/NIFTY2611326150CE_strategy.html", "View")</f>
        <v/>
      </c>
      <c r="N43" t="inlineStr"/>
      <c r="O43" t="inlineStr"/>
      <c r="P43" t="inlineStr">
        <is>
          <t>NEUTRAL</t>
        </is>
      </c>
      <c r="Q43" t="inlineStr">
        <is>
          <t>INCLUDED</t>
        </is>
      </c>
      <c r="R43" t="n">
        <v>7.49</v>
      </c>
      <c r="S43" t="inlineStr">
        <is>
          <t>Dynamic Trailing MA (Fast/Slow MA)</t>
        </is>
      </c>
      <c r="T43" t="n">
        <v>0.4973</v>
      </c>
      <c r="U43" t="n">
        <v>0.6186</v>
      </c>
      <c r="V43" t="inlineStr">
        <is>
          <t>2026-01-07</t>
        </is>
      </c>
      <c r="W43" t="inlineStr">
        <is>
          <t>Between R1 and S1</t>
        </is>
      </c>
      <c r="X43" t="n">
        <v>26151.05</v>
      </c>
      <c r="Y43" t="n">
        <v>26260.18</v>
      </c>
      <c r="Z43" t="n">
        <v>26110.98</v>
      </c>
      <c r="AA43" t="n">
        <v>26341.67</v>
      </c>
      <c r="AB43" t="n">
        <v>26043.27</v>
      </c>
      <c r="AC43" t="n">
        <v>26409.38</v>
      </c>
      <c r="AD43" t="n">
        <v>25961.78</v>
      </c>
    </row>
    <row r="44">
      <c r="A44">
        <f>HYPERLINK("../../data_st50/JAN13_DYNAMIC/JAN07/OTM/NIFTY2611326150PE_strategy.csv", "NIFTY2611326150PE")</f>
        <v/>
      </c>
      <c r="B44" t="inlineStr">
        <is>
          <t>PE</t>
        </is>
      </c>
      <c r="C44" t="inlineStr">
        <is>
          <t>11:11:01</t>
        </is>
      </c>
      <c r="D44" t="inlineStr">
        <is>
          <t>11:34:00</t>
        </is>
      </c>
      <c r="E44" t="n">
        <v>79.59999999999999</v>
      </c>
      <c r="F44" t="n">
        <v>82.25</v>
      </c>
      <c r="G44" t="n">
        <v>132440.27</v>
      </c>
      <c r="H44" t="n">
        <v>132440.27</v>
      </c>
      <c r="I44" t="n">
        <v>92708.19</v>
      </c>
      <c r="J44" t="inlineStr">
        <is>
          <t>EXECUTED</t>
        </is>
      </c>
      <c r="K44" t="n">
        <v>16.83</v>
      </c>
      <c r="L44" t="n">
        <v>-6.28</v>
      </c>
      <c r="M44">
        <f>HYPERLINK("../../data_st50/JAN13_DYNAMIC/JAN07/OTM/NIFTY2611326150PE_strategy.html", "View")</f>
        <v/>
      </c>
      <c r="N44" t="inlineStr"/>
      <c r="O44" t="inlineStr"/>
      <c r="P44" t="inlineStr">
        <is>
          <t>BEARISH</t>
        </is>
      </c>
      <c r="Q44" t="inlineStr">
        <is>
          <t>INCLUDED (HYBRID_NEUTRAL_ZONE)</t>
        </is>
      </c>
      <c r="R44" t="n">
        <v>3.33</v>
      </c>
      <c r="S44" t="inlineStr">
        <is>
          <t>Dynamic Trailing MA (Fast/Slow MA)</t>
        </is>
      </c>
      <c r="T44" t="n">
        <v>0.6697</v>
      </c>
      <c r="U44" t="n">
        <v>0.6379</v>
      </c>
      <c r="V44" t="inlineStr">
        <is>
          <t>2026-01-07</t>
        </is>
      </c>
      <c r="W44" t="inlineStr">
        <is>
          <t>Between R1 and S1</t>
        </is>
      </c>
      <c r="X44" t="n">
        <v>26161.2</v>
      </c>
      <c r="Y44" t="n">
        <v>26260.18</v>
      </c>
      <c r="Z44" t="n">
        <v>26110.98</v>
      </c>
      <c r="AA44" t="n">
        <v>26341.67</v>
      </c>
      <c r="AB44" t="n">
        <v>26043.27</v>
      </c>
      <c r="AC44" t="n">
        <v>26409.38</v>
      </c>
      <c r="AD44" t="n">
        <v>25961.78</v>
      </c>
    </row>
    <row r="45">
      <c r="A45">
        <f>HYPERLINK("../../data_st50/JAN13_DYNAMIC/JAN07/OTM/NIFTY2611326150CE_strategy.csv", "NIFTY2611326150CE")</f>
        <v/>
      </c>
      <c r="B45" t="inlineStr">
        <is>
          <t>CE</t>
        </is>
      </c>
      <c r="C45" t="inlineStr">
        <is>
          <t>10:41:01</t>
        </is>
      </c>
      <c r="D45" t="inlineStr">
        <is>
          <t>11:11:00</t>
        </is>
      </c>
      <c r="E45" t="n">
        <v>115.15</v>
      </c>
      <c r="F45" t="n">
        <v>122.91</v>
      </c>
      <c r="G45" t="n">
        <v>128172.14</v>
      </c>
      <c r="H45" t="n">
        <v>128172.14</v>
      </c>
      <c r="I45" t="n">
        <v>89720.49000000001</v>
      </c>
      <c r="J45" t="inlineStr">
        <is>
          <t>EXECUTED</t>
        </is>
      </c>
      <c r="K45" t="n">
        <v>21.67</v>
      </c>
      <c r="L45" t="n">
        <v>-8.289999999999999</v>
      </c>
      <c r="M45">
        <f>HYPERLINK("../../data_st50/JAN13_DYNAMIC/JAN07/OTM/NIFTY2611326150CE_strategy.html", "View")</f>
        <v/>
      </c>
      <c r="N45" t="inlineStr"/>
      <c r="O45" t="inlineStr"/>
      <c r="P45" t="inlineStr">
        <is>
          <t>NEUTRAL</t>
        </is>
      </c>
      <c r="Q45" t="inlineStr">
        <is>
          <t>INCLUDED</t>
        </is>
      </c>
      <c r="R45" t="n">
        <v>6.74</v>
      </c>
      <c r="S45" t="inlineStr">
        <is>
          <t>SuperTrend Stop Loss Exit</t>
        </is>
      </c>
      <c r="T45" t="n">
        <v>0.4111</v>
      </c>
      <c r="U45" t="n">
        <v>0.648</v>
      </c>
      <c r="V45" t="inlineStr">
        <is>
          <t>2026-01-07</t>
        </is>
      </c>
      <c r="W45" t="inlineStr">
        <is>
          <t>Between R1 and S1</t>
        </is>
      </c>
      <c r="X45" t="n">
        <v>26141.51</v>
      </c>
      <c r="Y45" t="n">
        <v>26260.18</v>
      </c>
      <c r="Z45" t="n">
        <v>26110.98</v>
      </c>
      <c r="AA45" t="n">
        <v>26341.67</v>
      </c>
      <c r="AB45" t="n">
        <v>26043.27</v>
      </c>
      <c r="AC45" t="n">
        <v>26409.38</v>
      </c>
      <c r="AD45" t="n">
        <v>25961.78</v>
      </c>
    </row>
    <row r="46">
      <c r="A46">
        <f>HYPERLINK("../../data_st50/JAN13_DYNAMIC/JAN07/OTM/NIFTY2611326150PE_strategy.csv", "NIFTY2611326150PE")</f>
        <v/>
      </c>
      <c r="B46" t="inlineStr">
        <is>
          <t>PE</t>
        </is>
      </c>
      <c r="C46" t="inlineStr">
        <is>
          <t>10:19:01</t>
        </is>
      </c>
      <c r="D46" t="inlineStr">
        <is>
          <t>10:29:00</t>
        </is>
      </c>
      <c r="E46" t="n">
        <v>86.3</v>
      </c>
      <c r="F46" t="n">
        <v>95.09999999999999</v>
      </c>
      <c r="G46" t="n">
        <v>120078.82</v>
      </c>
      <c r="H46" t="n">
        <v>120078.82</v>
      </c>
      <c r="I46" t="n">
        <v>84055.17999999999</v>
      </c>
      <c r="J46" t="inlineStr">
        <is>
          <t>EXECUTED</t>
        </is>
      </c>
      <c r="K46" t="n">
        <v>14.72</v>
      </c>
      <c r="L46" t="n">
        <v>-12.05</v>
      </c>
      <c r="M46">
        <f>HYPERLINK("../../data_st50/JAN13_DYNAMIC/JAN07/OTM/NIFTY2611326150PE_strategy.html", "View")</f>
        <v/>
      </c>
      <c r="N46" t="inlineStr"/>
      <c r="O46" t="inlineStr"/>
      <c r="P46" t="inlineStr">
        <is>
          <t>BEARISH</t>
        </is>
      </c>
      <c r="Q46" t="inlineStr">
        <is>
          <t>INCLUDED (HYBRID_NEUTRAL_ZONE)</t>
        </is>
      </c>
      <c r="R46" t="n">
        <v>10.2</v>
      </c>
      <c r="S46" t="inlineStr">
        <is>
          <t>Dynamic Trailing MA (Fast/Slow MA)</t>
        </is>
      </c>
      <c r="T46" t="n">
        <v>0.3846</v>
      </c>
      <c r="U46" t="n">
        <v>0.6375999999999999</v>
      </c>
      <c r="V46" t="inlineStr">
        <is>
          <t>2026-01-07</t>
        </is>
      </c>
      <c r="W46" t="inlineStr">
        <is>
          <t>Between R1 and S1</t>
        </is>
      </c>
      <c r="X46" t="n">
        <v>26163.99</v>
      </c>
      <c r="Y46" t="n">
        <v>26260.18</v>
      </c>
      <c r="Z46" t="n">
        <v>26110.98</v>
      </c>
      <c r="AA46" t="n">
        <v>26341.67</v>
      </c>
      <c r="AB46" t="n">
        <v>26043.27</v>
      </c>
      <c r="AC46" t="n">
        <v>26409.38</v>
      </c>
      <c r="AD46" t="n">
        <v>25961.78</v>
      </c>
    </row>
    <row r="47">
      <c r="A47">
        <f>HYPERLINK("../../data_st50/JAN13_DYNAMIC/JAN07/OTM/NIFTY2611326150CE_strategy.csv", "NIFTY2611326150CE")</f>
        <v/>
      </c>
      <c r="B47" t="inlineStr">
        <is>
          <t>CE</t>
        </is>
      </c>
      <c r="C47" t="inlineStr">
        <is>
          <t>09:57:01</t>
        </is>
      </c>
      <c r="D47" t="inlineStr">
        <is>
          <t>10:19:00</t>
        </is>
      </c>
      <c r="E47" t="n">
        <v>102.15</v>
      </c>
      <c r="F47" t="n">
        <v>122.82</v>
      </c>
      <c r="G47" t="n">
        <v>108964.45</v>
      </c>
      <c r="H47" t="n">
        <v>108964.45</v>
      </c>
      <c r="I47" t="n">
        <v>76275.11</v>
      </c>
      <c r="J47" t="inlineStr">
        <is>
          <t>EXECUTED</t>
        </is>
      </c>
      <c r="K47" t="n">
        <v>42.39</v>
      </c>
      <c r="L47" t="n">
        <v>-6.66</v>
      </c>
      <c r="M47">
        <f>HYPERLINK("../../data_st50/JAN13_DYNAMIC/JAN07/OTM/NIFTY2611326150CE_strategy.html", "View")</f>
        <v/>
      </c>
      <c r="N47" t="inlineStr"/>
      <c r="O47" t="inlineStr"/>
      <c r="P47" t="inlineStr">
        <is>
          <t>NEUTRAL</t>
        </is>
      </c>
      <c r="Q47" t="inlineStr">
        <is>
          <t>INCLUDED</t>
        </is>
      </c>
      <c r="R47" t="n">
        <v>20.23</v>
      </c>
      <c r="S47" t="inlineStr">
        <is>
          <t>SuperTrend Stop Loss Exit</t>
        </is>
      </c>
      <c r="T47" t="n">
        <v>0.6923</v>
      </c>
      <c r="U47" t="n">
        <v>0.7488</v>
      </c>
      <c r="V47" t="inlineStr">
        <is>
          <t>2026-01-07</t>
        </is>
      </c>
      <c r="W47" t="inlineStr">
        <is>
          <t>Between R1 and S1</t>
        </is>
      </c>
      <c r="X47" t="n">
        <v>26122.11</v>
      </c>
      <c r="Y47" t="n">
        <v>26260.18</v>
      </c>
      <c r="Z47" t="n">
        <v>26110.98</v>
      </c>
      <c r="AA47" t="n">
        <v>26341.67</v>
      </c>
      <c r="AB47" t="n">
        <v>26043.27</v>
      </c>
      <c r="AC47" t="n">
        <v>26409.38</v>
      </c>
      <c r="AD47" t="n">
        <v>25961.78</v>
      </c>
    </row>
    <row r="48">
      <c r="A48">
        <f>HYPERLINK("../../data_st50/JAN13_DYNAMIC/JAN07/OTM/NIFTY2611326150CE_strategy.csv", "NIFTY2611326150CE")</f>
        <v/>
      </c>
      <c r="B48" t="inlineStr">
        <is>
          <t>CE</t>
        </is>
      </c>
      <c r="C48" t="inlineStr">
        <is>
          <t>09:21:01</t>
        </is>
      </c>
      <c r="D48" t="inlineStr">
        <is>
          <t>09:43:00</t>
        </is>
      </c>
      <c r="E48" t="n">
        <v>109.95</v>
      </c>
      <c r="F48" t="n">
        <v>99.65000000000001</v>
      </c>
      <c r="G48" t="n">
        <v>90630</v>
      </c>
      <c r="H48" t="n">
        <v>100000</v>
      </c>
      <c r="I48" t="n">
        <v>70000</v>
      </c>
      <c r="J48" t="inlineStr">
        <is>
          <t>EXECUTED</t>
        </is>
      </c>
      <c r="K48" t="n">
        <v>13.46</v>
      </c>
      <c r="L48" t="n">
        <v>-13.55</v>
      </c>
      <c r="M48">
        <f>HYPERLINK("../../data_st50/JAN13_DYNAMIC/JAN07/OTM/NIFTY2611326150CE_strategy.html", "View")</f>
        <v/>
      </c>
      <c r="N48" t="inlineStr"/>
      <c r="O48" t="inlineStr"/>
      <c r="P48" t="inlineStr">
        <is>
          <t>NEUTRAL</t>
        </is>
      </c>
      <c r="Q48" t="inlineStr">
        <is>
          <t>INCLUDED</t>
        </is>
      </c>
      <c r="R48" t="n">
        <v>-9.369999999999999</v>
      </c>
      <c r="S48" t="inlineStr">
        <is>
          <t>SuperTrend Stop Loss Exit</t>
        </is>
      </c>
      <c r="T48" t="n">
        <v>0.3049</v>
      </c>
      <c r="U48" t="n">
        <v>0.3059</v>
      </c>
      <c r="V48" t="inlineStr">
        <is>
          <t>2026-01-07</t>
        </is>
      </c>
      <c r="W48" t="inlineStr">
        <is>
          <t>Between R1 and S1</t>
        </is>
      </c>
      <c r="X48" t="n">
        <v>26150.26</v>
      </c>
      <c r="Y48" t="n">
        <v>26260.18</v>
      </c>
      <c r="Z48" t="n">
        <v>26110.98</v>
      </c>
      <c r="AA48" t="n">
        <v>26341.67</v>
      </c>
      <c r="AB48" t="n">
        <v>26043.27</v>
      </c>
      <c r="AC48" t="n">
        <v>26409.38</v>
      </c>
      <c r="AD48" t="n">
        <v>25961.78</v>
      </c>
    </row>
    <row r="49">
      <c r="A49">
        <f>HYPERLINK("../../data_st50/JAN13_DYNAMIC/JAN08/OTM/NIFTY2611326100CE_strategy.csv", "NIFTY2611326100CE")</f>
        <v/>
      </c>
      <c r="B49" t="inlineStr">
        <is>
          <t>CE</t>
        </is>
      </c>
      <c r="C49" t="inlineStr">
        <is>
          <t>09:38:01</t>
        </is>
      </c>
      <c r="D49" t="inlineStr">
        <is>
          <t>09:52:00</t>
        </is>
      </c>
      <c r="E49" t="n">
        <v>90.2</v>
      </c>
      <c r="F49" t="n">
        <v>86.90000000000001</v>
      </c>
      <c r="G49" t="n">
        <v>96340</v>
      </c>
      <c r="H49" t="n">
        <v>100000</v>
      </c>
      <c r="I49" t="n">
        <v>70000</v>
      </c>
      <c r="J49" t="inlineStr">
        <is>
          <t>EXECUTED</t>
        </is>
      </c>
      <c r="K49" t="n">
        <v>8.699999999999999</v>
      </c>
      <c r="L49" t="n">
        <v>-13.64</v>
      </c>
      <c r="M49">
        <f>HYPERLINK("../../data_st50/JAN13_DYNAMIC/JAN08/OTM/NIFTY2611326100CE_strategy.html", "View")</f>
        <v/>
      </c>
      <c r="N49" t="inlineStr"/>
      <c r="O49" t="inlineStr"/>
      <c r="P49" t="inlineStr">
        <is>
          <t>BULLISH</t>
        </is>
      </c>
      <c r="Q49" t="inlineStr">
        <is>
          <t>INCLUDED (HYBRID_NEUTRAL_ZONE)</t>
        </is>
      </c>
      <c r="R49" t="n">
        <v>-3.66</v>
      </c>
      <c r="S49" t="inlineStr">
        <is>
          <t>Dynamic Trailing MA (Fast/Slow MA)</t>
        </is>
      </c>
      <c r="T49" t="n">
        <v>0.3671</v>
      </c>
      <c r="U49" t="n">
        <v>0.6314</v>
      </c>
      <c r="V49" t="inlineStr">
        <is>
          <t>2026-01-08</t>
        </is>
      </c>
      <c r="W49" t="inlineStr">
        <is>
          <t>Between R1 and S1</t>
        </is>
      </c>
      <c r="X49" t="n">
        <v>26085.79</v>
      </c>
      <c r="Y49" t="n">
        <v>26195.97</v>
      </c>
      <c r="Z49" t="n">
        <v>26076.72</v>
      </c>
      <c r="AA49" t="n">
        <v>26251.18</v>
      </c>
      <c r="AB49" t="n">
        <v>26012.68</v>
      </c>
      <c r="AC49" t="n">
        <v>26315.22</v>
      </c>
      <c r="AD49" t="n">
        <v>25957.47</v>
      </c>
    </row>
    <row r="50">
      <c r="A50">
        <f>HYPERLINK("../../data_st50/JAN13_DYNAMIC/JAN09/OTM/NIFTY2611325800CE_strategy.csv", "NIFTY2611325800CE")</f>
        <v/>
      </c>
      <c r="B50" t="inlineStr">
        <is>
          <t>CE</t>
        </is>
      </c>
      <c r="C50" t="inlineStr">
        <is>
          <t>11:26:01</t>
        </is>
      </c>
      <c r="D50" t="inlineStr">
        <is>
          <t>11:35:00</t>
        </is>
      </c>
      <c r="E50" t="n">
        <v>112.2</v>
      </c>
      <c r="F50" t="n">
        <v>102.1</v>
      </c>
      <c r="G50" t="n">
        <v>93338.42999999999</v>
      </c>
      <c r="H50" t="n">
        <v>102569.7</v>
      </c>
      <c r="I50" t="n">
        <v>71798.78999999999</v>
      </c>
      <c r="J50" t="inlineStr">
        <is>
          <t>EXECUTED</t>
        </is>
      </c>
      <c r="K50" t="n">
        <v>4.72</v>
      </c>
      <c r="L50" t="n">
        <v>-7.31</v>
      </c>
      <c r="M50">
        <f>HYPERLINK("../../data_st50/JAN13_DYNAMIC/JAN09/OTM/NIFTY2611325800CE_strategy.html", "View")</f>
        <v/>
      </c>
      <c r="N50" t="inlineStr"/>
      <c r="O50" t="inlineStr"/>
      <c r="P50" t="inlineStr">
        <is>
          <t>NEUTRAL</t>
        </is>
      </c>
      <c r="Q50" t="inlineStr">
        <is>
          <t>INCLUDED</t>
        </is>
      </c>
      <c r="R50" t="n">
        <v>-9</v>
      </c>
      <c r="S50" t="inlineStr">
        <is>
          <t>Fixed Stop Loss</t>
        </is>
      </c>
      <c r="T50" t="n">
        <v>0.2453</v>
      </c>
      <c r="U50" t="inlineStr"/>
      <c r="V50" t="inlineStr">
        <is>
          <t>2026-01-09</t>
        </is>
      </c>
      <c r="W50" t="inlineStr">
        <is>
          <t>Between R1 and S1</t>
        </is>
      </c>
      <c r="X50" t="n">
        <v>25800.29</v>
      </c>
      <c r="Y50" t="n">
        <v>26053.88</v>
      </c>
      <c r="Z50" t="n">
        <v>25779.13</v>
      </c>
      <c r="AA50" t="n">
        <v>26230.92</v>
      </c>
      <c r="AB50" t="n">
        <v>25681.42</v>
      </c>
      <c r="AC50" t="n">
        <v>26328.63</v>
      </c>
      <c r="AD50" t="n">
        <v>25504.38</v>
      </c>
    </row>
    <row r="51">
      <c r="A51">
        <f>HYPERLINK("../../data_st50/JAN13_DYNAMIC/JAN09/OTM/NIFTY2611325850PE_strategy.csv", "NIFTY2611325850PE")</f>
        <v/>
      </c>
      <c r="B51" t="inlineStr">
        <is>
          <t>PE</t>
        </is>
      </c>
      <c r="C51" t="inlineStr">
        <is>
          <t>10:33:01</t>
        </is>
      </c>
      <c r="D51" t="inlineStr">
        <is>
          <t>10:52:00</t>
        </is>
      </c>
      <c r="E51" t="n">
        <v>64.65000000000001</v>
      </c>
      <c r="F51" t="n">
        <v>71.3</v>
      </c>
      <c r="G51" t="n">
        <v>102569.7</v>
      </c>
      <c r="H51" t="n">
        <v>102569.7</v>
      </c>
      <c r="I51" t="n">
        <v>71798.78999999999</v>
      </c>
      <c r="J51" t="inlineStr">
        <is>
          <t>EXECUTED</t>
        </is>
      </c>
      <c r="K51" t="n">
        <v>19.49</v>
      </c>
      <c r="L51" t="n">
        <v>-12.92</v>
      </c>
      <c r="M51">
        <f>HYPERLINK("../../data_st50/JAN13_DYNAMIC/JAN09/OTM/NIFTY2611325850PE_strategy.html", "View")</f>
        <v/>
      </c>
      <c r="N51" t="inlineStr"/>
      <c r="O51" t="inlineStr"/>
      <c r="P51" t="inlineStr">
        <is>
          <t>NEUTRAL</t>
        </is>
      </c>
      <c r="Q51" t="inlineStr">
        <is>
          <t>INCLUDED</t>
        </is>
      </c>
      <c r="R51" t="n">
        <v>10.29</v>
      </c>
      <c r="S51" t="inlineStr">
        <is>
          <t>Dynamic Trailing MA (Fast/Slow MA)</t>
        </is>
      </c>
      <c r="T51" t="n">
        <v>0.4959</v>
      </c>
      <c r="U51" t="n">
        <v>0.5244</v>
      </c>
      <c r="V51" t="inlineStr">
        <is>
          <t>2026-01-09</t>
        </is>
      </c>
      <c r="W51" t="inlineStr">
        <is>
          <t>Between R1 and S1</t>
        </is>
      </c>
      <c r="X51" t="n">
        <v>25868.18</v>
      </c>
      <c r="Y51" t="n">
        <v>26053.88</v>
      </c>
      <c r="Z51" t="n">
        <v>25779.13</v>
      </c>
      <c r="AA51" t="n">
        <v>26230.92</v>
      </c>
      <c r="AB51" t="n">
        <v>25681.42</v>
      </c>
      <c r="AC51" t="n">
        <v>26328.63</v>
      </c>
      <c r="AD51" t="n">
        <v>25504.38</v>
      </c>
    </row>
    <row r="52">
      <c r="A52">
        <f>HYPERLINK("../../data_st50/JAN13_DYNAMIC/JAN09/OTM/NIFTY2611325900PE_strategy.csv", "NIFTY2611325900PE")</f>
        <v/>
      </c>
      <c r="B52" t="inlineStr">
        <is>
          <t>PE</t>
        </is>
      </c>
      <c r="C52" t="inlineStr">
        <is>
          <t>09:22:01</t>
        </is>
      </c>
      <c r="D52" t="inlineStr">
        <is>
          <t>09:47:00</t>
        </is>
      </c>
      <c r="E52" t="n">
        <v>85.15000000000001</v>
      </c>
      <c r="F52" t="n">
        <v>79.19</v>
      </c>
      <c r="G52" t="n">
        <v>93000</v>
      </c>
      <c r="H52" t="n">
        <v>100000</v>
      </c>
      <c r="I52" t="n">
        <v>70000</v>
      </c>
      <c r="J52" t="inlineStr">
        <is>
          <t>EXECUTED</t>
        </is>
      </c>
      <c r="K52" t="n">
        <v>35.94</v>
      </c>
      <c r="L52" t="n">
        <v>-22.14</v>
      </c>
      <c r="M52">
        <f>HYPERLINK("../../data_st50/JAN13_DYNAMIC/JAN09/OTM/NIFTY2611325900PE_strategy.html", "View")</f>
        <v/>
      </c>
      <c r="N52" t="inlineStr"/>
      <c r="O52" t="inlineStr"/>
      <c r="P52" t="inlineStr">
        <is>
          <t>NEUTRAL</t>
        </is>
      </c>
      <c r="Q52" t="inlineStr">
        <is>
          <t>INCLUDED</t>
        </is>
      </c>
      <c r="R52" t="n">
        <v>-7</v>
      </c>
      <c r="S52" t="inlineStr">
        <is>
          <t>SuperTrend Stop Loss Exit</t>
        </is>
      </c>
      <c r="T52" t="n">
        <v>0.5413</v>
      </c>
      <c r="U52" t="n">
        <v>0.5544</v>
      </c>
      <c r="V52" t="inlineStr">
        <is>
          <t>2026-01-09</t>
        </is>
      </c>
      <c r="W52" t="inlineStr">
        <is>
          <t>Between R1 and S1</t>
        </is>
      </c>
      <c r="X52" t="n">
        <v>25882.76</v>
      </c>
      <c r="Y52" t="n">
        <v>26053.88</v>
      </c>
      <c r="Z52" t="n">
        <v>25779.13</v>
      </c>
      <c r="AA52" t="n">
        <v>26230.92</v>
      </c>
      <c r="AB52" t="n">
        <v>25681.42</v>
      </c>
      <c r="AC52" t="n">
        <v>26328.63</v>
      </c>
      <c r="AD52" t="n">
        <v>25504.38</v>
      </c>
    </row>
    <row r="53">
      <c r="A53">
        <f>HYPERLINK("../../data_st50/JAN13_DYNAMIC/JAN12/OTM/NIFTY2611325700CE_strategy.csv", "NIFTY2611325700CE")</f>
        <v/>
      </c>
      <c r="B53" t="inlineStr">
        <is>
          <t>CE</t>
        </is>
      </c>
      <c r="C53" t="inlineStr">
        <is>
          <t>13:31:01</t>
        </is>
      </c>
      <c r="D53" t="inlineStr">
        <is>
          <t>13:57:00</t>
        </is>
      </c>
      <c r="E53" t="n">
        <v>90.09999999999999</v>
      </c>
      <c r="F53" t="n">
        <v>103.75</v>
      </c>
      <c r="G53" t="n">
        <v>204189.71</v>
      </c>
      <c r="H53" t="n">
        <v>214134.74</v>
      </c>
      <c r="I53" t="n">
        <v>149894.31</v>
      </c>
      <c r="J53" t="inlineStr">
        <is>
          <t>EXECUTED</t>
        </is>
      </c>
      <c r="K53" t="n">
        <v>37.24</v>
      </c>
      <c r="L53" t="n">
        <v>-14.26</v>
      </c>
      <c r="M53">
        <f>HYPERLINK("../../data_st50/JAN13_DYNAMIC/JAN12/OTM/NIFTY2611325700CE_strategy.html", "View")</f>
        <v/>
      </c>
      <c r="N53" t="inlineStr"/>
      <c r="O53" t="inlineStr"/>
      <c r="P53" t="inlineStr">
        <is>
          <t>BEARISH</t>
        </is>
      </c>
      <c r="Q53" t="inlineStr">
        <is>
          <t>INCLUDED (HYBRID_NEUTRAL_ZONE)</t>
        </is>
      </c>
      <c r="R53" t="n">
        <v>15.15</v>
      </c>
      <c r="S53" t="inlineStr">
        <is>
          <t>Dynamic Trailing MA (Fast/Slow MA)</t>
        </is>
      </c>
      <c r="T53" t="n">
        <v>0.3473</v>
      </c>
      <c r="U53" t="n">
        <v>0.501</v>
      </c>
      <c r="V53" t="inlineStr">
        <is>
          <t>2026-01-12</t>
        </is>
      </c>
      <c r="W53" t="inlineStr">
        <is>
          <t>Between R1 and S1</t>
        </is>
      </c>
      <c r="X53" t="n">
        <v>25713.8</v>
      </c>
      <c r="Y53" t="n">
        <v>25874.93</v>
      </c>
      <c r="Z53" t="n">
        <v>25557.33</v>
      </c>
      <c r="AA53" t="n">
        <v>26066.57</v>
      </c>
      <c r="AB53" t="n">
        <v>25431.37</v>
      </c>
      <c r="AC53" t="n">
        <v>26192.53</v>
      </c>
      <c r="AD53" t="n">
        <v>25239.73</v>
      </c>
    </row>
    <row r="54">
      <c r="A54">
        <f>HYPERLINK("../../data_st50/JAN13_DYNAMIC/JAN12/OTM/NIFTY2611325700PE_strategy.csv", "NIFTY2611325700PE")</f>
        <v/>
      </c>
      <c r="B54" t="inlineStr">
        <is>
          <t>PE</t>
        </is>
      </c>
      <c r="C54" t="inlineStr">
        <is>
          <t>13:19:01</t>
        </is>
      </c>
      <c r="D54" t="inlineStr">
        <is>
          <t>13:32:00</t>
        </is>
      </c>
      <c r="E54" t="n">
        <v>70.2</v>
      </c>
      <c r="F54" t="n">
        <v>63.88</v>
      </c>
      <c r="G54" t="n">
        <v>177324.97</v>
      </c>
      <c r="H54" t="n">
        <v>214134.74</v>
      </c>
      <c r="I54" t="n">
        <v>149894.31</v>
      </c>
      <c r="J54" t="inlineStr">
        <is>
          <t>EXECUTED</t>
        </is>
      </c>
      <c r="K54" t="n">
        <v>13.75</v>
      </c>
      <c r="L54" t="n">
        <v>-11.18</v>
      </c>
      <c r="M54">
        <f>HYPERLINK("../../data_st50/JAN13_DYNAMIC/JAN12/OTM/NIFTY2611325700PE_strategy.html", "View")</f>
        <v/>
      </c>
      <c r="N54" t="inlineStr"/>
      <c r="O54" t="inlineStr"/>
      <c r="P54" t="inlineStr">
        <is>
          <t>BEARISH</t>
        </is>
      </c>
      <c r="Q54" t="inlineStr">
        <is>
          <t>INCLUDED (HYBRID_NEUTRAL_ZONE)</t>
        </is>
      </c>
      <c r="R54" t="n">
        <v>-9</v>
      </c>
      <c r="S54" t="inlineStr">
        <is>
          <t>Fixed Stop Loss</t>
        </is>
      </c>
      <c r="T54" t="n">
        <v>0.4769</v>
      </c>
      <c r="U54" t="n">
        <v>0.5266999999999999</v>
      </c>
      <c r="V54" t="inlineStr">
        <is>
          <t>2026-01-12</t>
        </is>
      </c>
      <c r="W54" t="inlineStr">
        <is>
          <t>Between R1 and S1</t>
        </is>
      </c>
      <c r="X54" t="n">
        <v>25709.03</v>
      </c>
      <c r="Y54" t="n">
        <v>25874.93</v>
      </c>
      <c r="Z54" t="n">
        <v>25557.33</v>
      </c>
      <c r="AA54" t="n">
        <v>26066.57</v>
      </c>
      <c r="AB54" t="n">
        <v>25431.37</v>
      </c>
      <c r="AC54" t="n">
        <v>26192.53</v>
      </c>
      <c r="AD54" t="n">
        <v>25239.73</v>
      </c>
    </row>
    <row r="55">
      <c r="A55">
        <f>HYPERLINK("../../data_st50/JAN13_DYNAMIC/JAN12/OTM/NIFTY2611325700CE_strategy.csv", "NIFTY2611325700CE")</f>
        <v/>
      </c>
      <c r="B55" t="inlineStr">
        <is>
          <t>CE</t>
        </is>
      </c>
      <c r="C55" t="inlineStr">
        <is>
          <t>13:05:01</t>
        </is>
      </c>
      <c r="D55" t="inlineStr">
        <is>
          <t>13:25:00</t>
        </is>
      </c>
      <c r="E55" t="n">
        <v>93.84999999999999</v>
      </c>
      <c r="F55" t="n">
        <v>85.40000000000001</v>
      </c>
      <c r="G55" t="n">
        <v>194862.61</v>
      </c>
      <c r="H55" t="n">
        <v>214134.74</v>
      </c>
      <c r="I55" t="n">
        <v>149894.31</v>
      </c>
      <c r="J55" t="inlineStr">
        <is>
          <t>EXECUTED</t>
        </is>
      </c>
      <c r="K55" t="n">
        <v>16.14</v>
      </c>
      <c r="L55" t="n">
        <v>-20.94</v>
      </c>
      <c r="M55">
        <f>HYPERLINK("../../data_st50/JAN13_DYNAMIC/JAN12/OTM/NIFTY2611325700CE_strategy.html", "View")</f>
        <v/>
      </c>
      <c r="N55" t="inlineStr"/>
      <c r="O55" t="inlineStr"/>
      <c r="P55" t="inlineStr">
        <is>
          <t>BEARISH</t>
        </is>
      </c>
      <c r="Q55" t="inlineStr">
        <is>
          <t>INCLUDED (HYBRID_NEUTRAL_ZONE)</t>
        </is>
      </c>
      <c r="R55" t="n">
        <v>-9</v>
      </c>
      <c r="S55" t="inlineStr">
        <is>
          <t>Fixed Stop Loss</t>
        </is>
      </c>
      <c r="T55" t="n">
        <v>0.3175</v>
      </c>
      <c r="U55" t="n">
        <v>0.3069</v>
      </c>
      <c r="V55" t="inlineStr">
        <is>
          <t>2026-01-12</t>
        </is>
      </c>
      <c r="W55" t="inlineStr">
        <is>
          <t>Between R1 and S1</t>
        </is>
      </c>
      <c r="X55" t="n">
        <v>25702.84</v>
      </c>
      <c r="Y55" t="n">
        <v>25874.93</v>
      </c>
      <c r="Z55" t="n">
        <v>25557.33</v>
      </c>
      <c r="AA55" t="n">
        <v>26066.57</v>
      </c>
      <c r="AB55" t="n">
        <v>25431.37</v>
      </c>
      <c r="AC55" t="n">
        <v>26192.53</v>
      </c>
      <c r="AD55" t="n">
        <v>25239.73</v>
      </c>
    </row>
    <row r="56">
      <c r="A56">
        <f>HYPERLINK("../../data_st50/JAN13_DYNAMIC/JAN12/OTM/NIFTY2611325550CE_strategy.csv", "NIFTY2611325550CE")</f>
        <v/>
      </c>
      <c r="B56" t="inlineStr">
        <is>
          <t>CE</t>
        </is>
      </c>
      <c r="C56" t="inlineStr">
        <is>
          <t>10:49:01</t>
        </is>
      </c>
      <c r="D56" t="inlineStr">
        <is>
          <t>10:52:00</t>
        </is>
      </c>
      <c r="E56" t="n">
        <v>96.59999999999999</v>
      </c>
      <c r="F56" t="n">
        <v>87.91</v>
      </c>
      <c r="G56" t="n">
        <v>75357.10000000001</v>
      </c>
      <c r="H56" t="n">
        <v>100000</v>
      </c>
      <c r="I56" t="n">
        <v>70000</v>
      </c>
      <c r="J56" t="inlineStr">
        <is>
          <t>EXECUTED</t>
        </is>
      </c>
      <c r="K56" t="n">
        <v>6.31</v>
      </c>
      <c r="L56" t="n">
        <v>-18.84</v>
      </c>
      <c r="M56">
        <f>HYPERLINK("../../data_st50/JAN13_DYNAMIC/JAN12/OTM/NIFTY2611325550CE_strategy.html", "View")</f>
        <v/>
      </c>
      <c r="N56" t="inlineStr"/>
      <c r="O56" t="inlineStr"/>
      <c r="P56" t="inlineStr">
        <is>
          <t>NEUTRAL</t>
        </is>
      </c>
      <c r="Q56" t="inlineStr">
        <is>
          <t>INCLUDED</t>
        </is>
      </c>
      <c r="R56" t="n">
        <v>-9</v>
      </c>
      <c r="S56" t="inlineStr">
        <is>
          <t>Fixed Stop Loss</t>
        </is>
      </c>
      <c r="T56" t="n">
        <v>0.4607</v>
      </c>
      <c r="U56" t="inlineStr"/>
      <c r="V56" t="inlineStr">
        <is>
          <t>2026-01-12</t>
        </is>
      </c>
      <c r="W56" t="inlineStr">
        <is>
          <t>Between R1 and S1</t>
        </is>
      </c>
      <c r="X56" t="n">
        <v>25570</v>
      </c>
      <c r="Y56" t="n">
        <v>25874.93</v>
      </c>
      <c r="Z56" t="n">
        <v>25557.33</v>
      </c>
      <c r="AA56" t="n">
        <v>26066.57</v>
      </c>
      <c r="AB56" t="n">
        <v>25431.37</v>
      </c>
      <c r="AC56" t="n">
        <v>26192.53</v>
      </c>
      <c r="AD56" t="n">
        <v>25239.73</v>
      </c>
    </row>
    <row r="57">
      <c r="A57">
        <f>HYPERLINK("../../data_st50/JAN13_DYNAMIC/JAN12/OTM/NIFTY2611325600CE_strategy.csv", "NIFTY2611325600CE")</f>
        <v/>
      </c>
      <c r="B57" t="inlineStr">
        <is>
          <t>CE</t>
        </is>
      </c>
      <c r="C57" t="inlineStr">
        <is>
          <t>10:19:01</t>
        </is>
      </c>
      <c r="D57" t="inlineStr">
        <is>
          <t>10:33:00</t>
        </is>
      </c>
      <c r="E57" t="n">
        <v>77.84999999999999</v>
      </c>
      <c r="F57" t="n">
        <v>70.84</v>
      </c>
      <c r="G57" t="n">
        <v>82810</v>
      </c>
      <c r="H57" t="n">
        <v>100000</v>
      </c>
      <c r="I57" t="n">
        <v>70000</v>
      </c>
      <c r="J57" t="inlineStr">
        <is>
          <t>EXECUTED</t>
        </is>
      </c>
      <c r="K57" t="n">
        <v>11.24</v>
      </c>
      <c r="L57" t="n">
        <v>-18.69</v>
      </c>
      <c r="M57">
        <f>HYPERLINK("../../data_st50/JAN13_DYNAMIC/JAN12/OTM/NIFTY2611325600CE_strategy.html", "View")</f>
        <v/>
      </c>
      <c r="N57" t="inlineStr"/>
      <c r="O57" t="inlineStr"/>
      <c r="P57" t="inlineStr">
        <is>
          <t>NEUTRAL</t>
        </is>
      </c>
      <c r="Q57" t="inlineStr">
        <is>
          <t>INCLUDED</t>
        </is>
      </c>
      <c r="R57" t="n">
        <v>-9</v>
      </c>
      <c r="S57" t="inlineStr">
        <is>
          <t>Fixed Stop Loss</t>
        </is>
      </c>
      <c r="T57" t="n">
        <v>0.4072</v>
      </c>
      <c r="U57" t="n">
        <v>0.5877</v>
      </c>
      <c r="V57" t="inlineStr">
        <is>
          <t>2026-01-12</t>
        </is>
      </c>
      <c r="W57" t="inlineStr">
        <is>
          <t>Between R1 and S1</t>
        </is>
      </c>
      <c r="X57" t="n">
        <v>25580.38</v>
      </c>
      <c r="Y57" t="n">
        <v>25874.93</v>
      </c>
      <c r="Z57" t="n">
        <v>25557.33</v>
      </c>
      <c r="AA57" t="n">
        <v>26066.57</v>
      </c>
      <c r="AB57" t="n">
        <v>25431.37</v>
      </c>
      <c r="AC57" t="n">
        <v>26192.53</v>
      </c>
      <c r="AD57" t="n">
        <v>25239.73</v>
      </c>
    </row>
    <row r="58">
      <c r="A58">
        <f>HYPERLINK("../../data_st50/JAN13_DYNAMIC/JAN12/OTM/NIFTY2611325600CE_strategy.csv", "NIFTY2611325600CE")</f>
        <v/>
      </c>
      <c r="B58" t="inlineStr">
        <is>
          <t>CE</t>
        </is>
      </c>
      <c r="C58" t="inlineStr">
        <is>
          <t>09:49:01</t>
        </is>
      </c>
      <c r="D58" t="inlineStr">
        <is>
          <t>09:58:00</t>
        </is>
      </c>
      <c r="E58" t="n">
        <v>81.3</v>
      </c>
      <c r="F58" t="n">
        <v>73.98</v>
      </c>
      <c r="G58" t="n">
        <v>91000</v>
      </c>
      <c r="H58" t="n">
        <v>100000</v>
      </c>
      <c r="I58" t="n">
        <v>70000</v>
      </c>
      <c r="J58" t="inlineStr">
        <is>
          <t>EXECUTED</t>
        </is>
      </c>
      <c r="K58" t="n">
        <v>17.28</v>
      </c>
      <c r="L58" t="n">
        <v>-18.39</v>
      </c>
      <c r="M58">
        <f>HYPERLINK("../../data_st50/JAN13_DYNAMIC/JAN12/OTM/NIFTY2611325600CE_strategy.html", "View")</f>
        <v/>
      </c>
      <c r="N58" t="inlineStr"/>
      <c r="O58" t="inlineStr"/>
      <c r="P58" t="inlineStr">
        <is>
          <t>NEUTRAL</t>
        </is>
      </c>
      <c r="Q58" t="inlineStr">
        <is>
          <t>INCLUDED</t>
        </is>
      </c>
      <c r="R58" t="n">
        <v>-9</v>
      </c>
      <c r="S58" t="inlineStr">
        <is>
          <t>Fixed Stop Loss</t>
        </is>
      </c>
      <c r="T58" t="n">
        <v>0.5558999999999999</v>
      </c>
      <c r="U58" t="n">
        <v>0.6162</v>
      </c>
      <c r="V58" t="inlineStr">
        <is>
          <t>2026-01-12</t>
        </is>
      </c>
      <c r="W58" t="inlineStr">
        <is>
          <t>Between R1 and S1</t>
        </is>
      </c>
      <c r="X58" t="n">
        <v>25584.55</v>
      </c>
      <c r="Y58" t="n">
        <v>25874.93</v>
      </c>
      <c r="Z58" t="n">
        <v>25557.33</v>
      </c>
      <c r="AA58" t="n">
        <v>26066.57</v>
      </c>
      <c r="AB58" t="n">
        <v>25431.37</v>
      </c>
      <c r="AC58" t="n">
        <v>26192.53</v>
      </c>
      <c r="AD58" t="n">
        <v>25239.73</v>
      </c>
    </row>
    <row r="59">
      <c r="A59">
        <f>HYPERLINK("../../data_st50/JAN20_DYNAMIC/JAN14/OTM/NIFTY2612025750PE_strategy.csv", "NIFTY2612025750PE")</f>
        <v/>
      </c>
      <c r="B59" t="inlineStr">
        <is>
          <t>PE</t>
        </is>
      </c>
      <c r="C59" t="inlineStr">
        <is>
          <t>12:42:01</t>
        </is>
      </c>
      <c r="D59" t="inlineStr">
        <is>
          <t>13:13:00</t>
        </is>
      </c>
      <c r="E59" t="n">
        <v>106.35</v>
      </c>
      <c r="F59" t="n">
        <v>109.85</v>
      </c>
      <c r="G59" t="n">
        <v>96785.52</v>
      </c>
      <c r="H59" t="n">
        <v>100000</v>
      </c>
      <c r="I59" t="n">
        <v>70000</v>
      </c>
      <c r="J59" t="inlineStr">
        <is>
          <t>EXECUTED</t>
        </is>
      </c>
      <c r="K59" t="n">
        <v>12.08</v>
      </c>
      <c r="L59" t="n">
        <v>-5.64</v>
      </c>
      <c r="M59">
        <f>HYPERLINK("../../data_st50/JAN20_DYNAMIC/JAN14/OTM/NIFTY2612025750PE_strategy.html", "View")</f>
        <v/>
      </c>
      <c r="N59" t="inlineStr"/>
      <c r="O59" t="inlineStr"/>
      <c r="P59" t="inlineStr">
        <is>
          <t>BULLISH</t>
        </is>
      </c>
      <c r="Q59" t="inlineStr">
        <is>
          <t>INCLUDED (HYBRID_NEUTRAL_ZONE)</t>
        </is>
      </c>
      <c r="R59" t="n">
        <v>3.29</v>
      </c>
      <c r="S59" t="inlineStr">
        <is>
          <t>Dynamic Trailing MA (Fast/Slow MA)</t>
        </is>
      </c>
      <c r="T59" t="n">
        <v>0.4429</v>
      </c>
      <c r="U59" t="n">
        <v>0.7421</v>
      </c>
      <c r="V59" t="inlineStr">
        <is>
          <t>2026-01-14</t>
        </is>
      </c>
      <c r="W59" t="inlineStr">
        <is>
          <t>Between R1 and S1</t>
        </is>
      </c>
      <c r="X59" t="n">
        <v>25763.36</v>
      </c>
      <c r="Y59" t="n">
        <v>25886.97</v>
      </c>
      <c r="Z59" t="n">
        <v>25590.47</v>
      </c>
      <c r="AA59" t="n">
        <v>26041.63</v>
      </c>
      <c r="AB59" t="n">
        <v>25448.63</v>
      </c>
      <c r="AC59" t="n">
        <v>26183.47</v>
      </c>
      <c r="AD59" t="n">
        <v>25293.97</v>
      </c>
    </row>
    <row r="60">
      <c r="A60">
        <f>HYPERLINK("../../data_st50/JAN20_DYNAMIC/JAN14/OTM/NIFTY2612025750PE_strategy.csv", "NIFTY2612025750PE")</f>
        <v/>
      </c>
      <c r="B60" t="inlineStr">
        <is>
          <t>PE</t>
        </is>
      </c>
      <c r="C60" t="inlineStr">
        <is>
          <t>12:06:01</t>
        </is>
      </c>
      <c r="D60" t="inlineStr">
        <is>
          <t>12:20:00</t>
        </is>
      </c>
      <c r="E60" t="n">
        <v>102.05</v>
      </c>
      <c r="F60" t="n">
        <v>105.08</v>
      </c>
      <c r="G60" t="n">
        <v>93702.7</v>
      </c>
      <c r="H60" t="n">
        <v>100000</v>
      </c>
      <c r="I60" t="n">
        <v>70000</v>
      </c>
      <c r="J60" t="inlineStr">
        <is>
          <t>EXECUTED</t>
        </is>
      </c>
      <c r="K60" t="n">
        <v>19.21</v>
      </c>
      <c r="L60" t="n">
        <v>-5.29</v>
      </c>
      <c r="M60">
        <f>HYPERLINK("../../data_st50/JAN20_DYNAMIC/JAN14/OTM/NIFTY2612025750PE_strategy.html", "View")</f>
        <v/>
      </c>
      <c r="N60" t="inlineStr"/>
      <c r="O60" t="inlineStr"/>
      <c r="P60" t="inlineStr">
        <is>
          <t>BULLISH</t>
        </is>
      </c>
      <c r="Q60" t="inlineStr">
        <is>
          <t>INCLUDED (HYBRID_NEUTRAL_ZONE)</t>
        </is>
      </c>
      <c r="R60" t="n">
        <v>2.97</v>
      </c>
      <c r="S60" t="inlineStr">
        <is>
          <t>SuperTrend Stop Loss Exit</t>
        </is>
      </c>
      <c r="T60" t="n">
        <v>0.5383</v>
      </c>
      <c r="U60" t="n">
        <v>0.4971</v>
      </c>
      <c r="V60" t="inlineStr">
        <is>
          <t>2026-01-14</t>
        </is>
      </c>
      <c r="W60" t="inlineStr">
        <is>
          <t>Between R1 and S1</t>
        </is>
      </c>
      <c r="X60" t="n">
        <v>25776.28</v>
      </c>
      <c r="Y60" t="n">
        <v>25886.97</v>
      </c>
      <c r="Z60" t="n">
        <v>25590.47</v>
      </c>
      <c r="AA60" t="n">
        <v>26041.63</v>
      </c>
      <c r="AB60" t="n">
        <v>25448.63</v>
      </c>
      <c r="AC60" t="n">
        <v>26183.47</v>
      </c>
      <c r="AD60" t="n">
        <v>25293.97</v>
      </c>
    </row>
    <row r="61">
      <c r="A61">
        <f>HYPERLINK("../../data_st50/JAN20_DYNAMIC/JAN14/OTM/NIFTY2612025750PE_strategy.csv", "NIFTY2612025750PE")</f>
        <v/>
      </c>
      <c r="B61" t="inlineStr">
        <is>
          <t>PE</t>
        </is>
      </c>
      <c r="C61" t="inlineStr">
        <is>
          <t>11:36:01</t>
        </is>
      </c>
      <c r="D61" t="inlineStr">
        <is>
          <t>11:48:00</t>
        </is>
      </c>
      <c r="E61" t="n">
        <v>111.95</v>
      </c>
      <c r="F61" t="n">
        <v>101.87</v>
      </c>
      <c r="G61" t="n">
        <v>91000</v>
      </c>
      <c r="H61" t="n">
        <v>100000</v>
      </c>
      <c r="I61" t="n">
        <v>70000</v>
      </c>
      <c r="J61" t="inlineStr">
        <is>
          <t>EXECUTED</t>
        </is>
      </c>
      <c r="K61" t="n">
        <v>1.79</v>
      </c>
      <c r="L61" t="n">
        <v>-5.4</v>
      </c>
      <c r="M61">
        <f>HYPERLINK("../../data_st50/JAN20_DYNAMIC/JAN14/OTM/NIFTY2612025750PE_strategy.html", "View")</f>
        <v/>
      </c>
      <c r="N61" t="inlineStr"/>
      <c r="O61" t="inlineStr"/>
      <c r="P61" t="inlineStr">
        <is>
          <t>BULLISH</t>
        </is>
      </c>
      <c r="Q61" t="inlineStr">
        <is>
          <t>INCLUDED (HYBRID_NEUTRAL_ZONE)</t>
        </is>
      </c>
      <c r="R61" t="n">
        <v>-9</v>
      </c>
      <c r="S61" t="inlineStr">
        <is>
          <t>Fixed Stop Loss</t>
        </is>
      </c>
      <c r="T61" t="n">
        <v>0.4421</v>
      </c>
      <c r="U61" t="inlineStr"/>
      <c r="V61" t="inlineStr">
        <is>
          <t>2026-01-14</t>
        </is>
      </c>
      <c r="W61" t="inlineStr">
        <is>
          <t>Between R1 and S1</t>
        </is>
      </c>
      <c r="X61" t="n">
        <v>25763.4</v>
      </c>
      <c r="Y61" t="n">
        <v>25886.97</v>
      </c>
      <c r="Z61" t="n">
        <v>25590.47</v>
      </c>
      <c r="AA61" t="n">
        <v>26041.63</v>
      </c>
      <c r="AB61" t="n">
        <v>25448.63</v>
      </c>
      <c r="AC61" t="n">
        <v>26183.47</v>
      </c>
      <c r="AD61" t="n">
        <v>25293.97</v>
      </c>
    </row>
    <row r="62">
      <c r="A62">
        <f>HYPERLINK("../../data_st50/JAN20_DYNAMIC/JAN16/OTM/NIFTY2612025700PE_strategy.csv", "NIFTY2612025700PE")</f>
        <v/>
      </c>
      <c r="B62" t="inlineStr">
        <is>
          <t>PE</t>
        </is>
      </c>
      <c r="C62" t="inlineStr">
        <is>
          <t>13:52:01</t>
        </is>
      </c>
      <c r="D62" t="inlineStr">
        <is>
          <t>14:12:00</t>
        </is>
      </c>
      <c r="E62" t="n">
        <v>94.95</v>
      </c>
      <c r="F62" t="n">
        <v>100.25</v>
      </c>
      <c r="G62" t="n">
        <v>82964.53999999999</v>
      </c>
      <c r="H62" t="n">
        <v>100000</v>
      </c>
      <c r="I62" t="n">
        <v>70000</v>
      </c>
      <c r="J62" t="inlineStr">
        <is>
          <t>EXECUTED</t>
        </is>
      </c>
      <c r="K62" t="n">
        <v>16.06</v>
      </c>
      <c r="L62" t="n">
        <v>-11.11</v>
      </c>
      <c r="M62">
        <f>HYPERLINK("../../data_st50/JAN20_DYNAMIC/JAN16/OTM/NIFTY2612025700PE_strategy.html", "View")</f>
        <v/>
      </c>
      <c r="N62" t="inlineStr"/>
      <c r="O62" t="inlineStr"/>
      <c r="P62" t="inlineStr">
        <is>
          <t>BULLISH</t>
        </is>
      </c>
      <c r="Q62" t="inlineStr">
        <is>
          <t>INCLUDED (HYBRID_NEUTRAL_ZONE)</t>
        </is>
      </c>
      <c r="R62" t="n">
        <v>5.58</v>
      </c>
      <c r="S62" t="inlineStr">
        <is>
          <t>EOD Exit</t>
        </is>
      </c>
      <c r="T62" t="n">
        <v>0.5627</v>
      </c>
      <c r="U62" t="n">
        <v>0.6601</v>
      </c>
      <c r="V62" t="inlineStr">
        <is>
          <t>2026-01-16</t>
        </is>
      </c>
      <c r="W62" t="inlineStr">
        <is>
          <t>Between R1 and S1</t>
        </is>
      </c>
      <c r="X62" t="n">
        <v>25698.86</v>
      </c>
      <c r="Y62" t="n">
        <v>25770.25</v>
      </c>
      <c r="Z62" t="n">
        <v>25582.45</v>
      </c>
      <c r="AA62" t="n">
        <v>25874.9</v>
      </c>
      <c r="AB62" t="n">
        <v>25499.3</v>
      </c>
      <c r="AC62" t="n">
        <v>25958.05</v>
      </c>
      <c r="AD62" t="n">
        <v>25394.65</v>
      </c>
    </row>
    <row r="63">
      <c r="A63">
        <f>HYPERLINK("../../data_st50/JAN20_DYNAMIC/JAN16/OTM/NIFTY2612025700PE_strategy.csv", "NIFTY2612025700PE")</f>
        <v/>
      </c>
      <c r="B63" t="inlineStr">
        <is>
          <t>PE</t>
        </is>
      </c>
      <c r="C63" t="inlineStr">
        <is>
          <t>13:36:01</t>
        </is>
      </c>
      <c r="D63" t="inlineStr">
        <is>
          <t>13:38:00</t>
        </is>
      </c>
      <c r="E63" t="n">
        <v>98.95</v>
      </c>
      <c r="F63" t="n">
        <v>90.04000000000001</v>
      </c>
      <c r="G63" t="n">
        <v>76670.69</v>
      </c>
      <c r="H63" t="n">
        <v>100000</v>
      </c>
      <c r="I63" t="n">
        <v>70000</v>
      </c>
      <c r="J63" t="inlineStr">
        <is>
          <t>EXECUTED</t>
        </is>
      </c>
      <c r="K63" t="n">
        <v>0</v>
      </c>
      <c r="L63" t="n">
        <v>-16.78</v>
      </c>
      <c r="M63">
        <f>HYPERLINK("../../data_st50/JAN20_DYNAMIC/JAN16/OTM/NIFTY2612025700PE_strategy.html", "View")</f>
        <v/>
      </c>
      <c r="N63" t="inlineStr"/>
      <c r="O63" t="inlineStr"/>
      <c r="P63" t="inlineStr">
        <is>
          <t>NEUTRAL</t>
        </is>
      </c>
      <c r="Q63" t="inlineStr">
        <is>
          <t>INCLUDED</t>
        </is>
      </c>
      <c r="R63" t="n">
        <v>-9</v>
      </c>
      <c r="S63" t="inlineStr">
        <is>
          <t>Fixed Stop Loss</t>
        </is>
      </c>
      <c r="T63" t="n">
        <v>0.6369</v>
      </c>
      <c r="U63" t="inlineStr"/>
      <c r="V63" t="inlineStr">
        <is>
          <t>2026-01-16</t>
        </is>
      </c>
      <c r="W63" t="inlineStr">
        <is>
          <t>Between R1 and S1</t>
        </is>
      </c>
      <c r="X63" t="n">
        <v>25694.31</v>
      </c>
      <c r="Y63" t="n">
        <v>25770.25</v>
      </c>
      <c r="Z63" t="n">
        <v>25582.45</v>
      </c>
      <c r="AA63" t="n">
        <v>25874.9</v>
      </c>
      <c r="AB63" t="n">
        <v>25499.3</v>
      </c>
      <c r="AC63" t="n">
        <v>25958.05</v>
      </c>
      <c r="AD63" t="n">
        <v>25394.65</v>
      </c>
    </row>
    <row r="64">
      <c r="A64">
        <f>HYPERLINK("../../data_st50/JAN20_DYNAMIC/JAN16/OTM/NIFTY2612025700CE_strategy.csv", "NIFTY2612025700CE")</f>
        <v/>
      </c>
      <c r="B64" t="inlineStr">
        <is>
          <t>CE</t>
        </is>
      </c>
      <c r="C64" t="inlineStr">
        <is>
          <t>13:29:01</t>
        </is>
      </c>
      <c r="D64" t="inlineStr">
        <is>
          <t>13:42:00</t>
        </is>
      </c>
      <c r="E64" t="n">
        <v>116.55</v>
      </c>
      <c r="F64" t="n">
        <v>119.45</v>
      </c>
      <c r="G64" t="n">
        <v>78579.78999999999</v>
      </c>
      <c r="H64" t="n">
        <v>100000</v>
      </c>
      <c r="I64" t="n">
        <v>70000</v>
      </c>
      <c r="J64" t="inlineStr">
        <is>
          <t>EXECUTED</t>
        </is>
      </c>
      <c r="K64" t="n">
        <v>11.41</v>
      </c>
      <c r="L64" t="n">
        <v>-12.48</v>
      </c>
      <c r="M64">
        <f>HYPERLINK("../../data_st50/JAN20_DYNAMIC/JAN16/OTM/NIFTY2612025700CE_strategy.html", "View")</f>
        <v/>
      </c>
      <c r="N64" t="inlineStr"/>
      <c r="O64" t="inlineStr"/>
      <c r="P64" t="inlineStr">
        <is>
          <t>BULLISH</t>
        </is>
      </c>
      <c r="Q64" t="inlineStr">
        <is>
          <t>INCLUDED (HYBRID_NEUTRAL_ZONE)</t>
        </is>
      </c>
      <c r="R64" t="n">
        <v>2.49</v>
      </c>
      <c r="S64" t="inlineStr">
        <is>
          <t>Dynamic Trailing MA (Fast/Slow MA)</t>
        </is>
      </c>
      <c r="T64" t="n">
        <v>0.3603</v>
      </c>
      <c r="U64" t="n">
        <v>0.4149</v>
      </c>
      <c r="V64" t="inlineStr">
        <is>
          <t>2026-01-16</t>
        </is>
      </c>
      <c r="W64" t="inlineStr">
        <is>
          <t>Between R1 and S1</t>
        </is>
      </c>
      <c r="X64" t="n">
        <v>25697.34</v>
      </c>
      <c r="Y64" t="n">
        <v>25770.25</v>
      </c>
      <c r="Z64" t="n">
        <v>25582.45</v>
      </c>
      <c r="AA64" t="n">
        <v>25874.9</v>
      </c>
      <c r="AB64" t="n">
        <v>25499.3</v>
      </c>
      <c r="AC64" t="n">
        <v>25958.05</v>
      </c>
      <c r="AD64" t="n">
        <v>25394.65</v>
      </c>
    </row>
    <row r="65">
      <c r="A65">
        <f>HYPERLINK("../../data_st50/JAN20_DYNAMIC/JAN16/OTM/NIFTY2612025750CE_strategy.csv", "NIFTY2612025750CE")</f>
        <v/>
      </c>
      <c r="B65" t="inlineStr">
        <is>
          <t>CE</t>
        </is>
      </c>
      <c r="C65" t="inlineStr">
        <is>
          <t>09:36:01</t>
        </is>
      </c>
      <c r="D65" t="inlineStr">
        <is>
          <t>09:40:00</t>
        </is>
      </c>
      <c r="E65" t="n">
        <v>103.2</v>
      </c>
      <c r="F65" t="n">
        <v>93.91</v>
      </c>
      <c r="G65" t="n">
        <v>91000</v>
      </c>
      <c r="H65" t="n">
        <v>100000</v>
      </c>
      <c r="I65" t="n">
        <v>70000</v>
      </c>
      <c r="J65" t="inlineStr">
        <is>
          <t>EXECUTED</t>
        </is>
      </c>
      <c r="K65" t="n">
        <v>2.86</v>
      </c>
      <c r="L65" t="n">
        <v>-8.91</v>
      </c>
      <c r="M65">
        <f>HYPERLINK("../../data_st50/JAN20_DYNAMIC/JAN16/OTM/NIFTY2612025750CE_strategy.html", "View")</f>
        <v/>
      </c>
      <c r="N65" t="inlineStr"/>
      <c r="O65" t="inlineStr"/>
      <c r="P65" t="inlineStr">
        <is>
          <t>BULLISH</t>
        </is>
      </c>
      <c r="Q65" t="inlineStr">
        <is>
          <t>INCLUDED (HYBRID_NEUTRAL_ZONE)</t>
        </is>
      </c>
      <c r="R65" t="n">
        <v>-9</v>
      </c>
      <c r="S65" t="inlineStr">
        <is>
          <t>Fixed Stop Loss</t>
        </is>
      </c>
      <c r="T65" t="n">
        <v>0.2659</v>
      </c>
      <c r="U65" t="inlineStr"/>
      <c r="V65" t="inlineStr">
        <is>
          <t>2026-01-16</t>
        </is>
      </c>
      <c r="W65" t="inlineStr">
        <is>
          <t>Between R1 and S1</t>
        </is>
      </c>
      <c r="X65" t="n">
        <v>25706.99</v>
      </c>
      <c r="Y65" t="n">
        <v>25770.25</v>
      </c>
      <c r="Z65" t="n">
        <v>25582.45</v>
      </c>
      <c r="AA65" t="n">
        <v>25874.9</v>
      </c>
      <c r="AB65" t="n">
        <v>25499.3</v>
      </c>
      <c r="AC65" t="n">
        <v>25958.05</v>
      </c>
      <c r="AD65" t="n">
        <v>25394.65</v>
      </c>
    </row>
    <row r="66">
      <c r="A66">
        <f>HYPERLINK("../../data_st50/JAN20_DYNAMIC/JAN16/OTM/NIFTY2612025700PE_strategy.csv", "NIFTY2612025700PE")</f>
        <v/>
      </c>
      <c r="B66" t="inlineStr">
        <is>
          <t>PE</t>
        </is>
      </c>
      <c r="C66" t="inlineStr">
        <is>
          <t>09:32:01</t>
        </is>
      </c>
      <c r="D66" t="inlineStr">
        <is>
          <t>09:43:00</t>
        </is>
      </c>
      <c r="E66" t="n">
        <v>95.25</v>
      </c>
      <c r="F66" t="n">
        <v>86.68000000000001</v>
      </c>
      <c r="G66" t="n">
        <v>82810</v>
      </c>
      <c r="H66" t="n">
        <v>100000</v>
      </c>
      <c r="I66" t="n">
        <v>70000</v>
      </c>
      <c r="J66" t="inlineStr">
        <is>
          <t>EXECUTED</t>
        </is>
      </c>
      <c r="K66" t="n">
        <v>10.6</v>
      </c>
      <c r="L66" t="n">
        <v>-12.7</v>
      </c>
      <c r="M66">
        <f>HYPERLINK("../../data_st50/JAN20_DYNAMIC/JAN16/OTM/NIFTY2612025700PE_strategy.html", "View")</f>
        <v/>
      </c>
      <c r="N66" t="inlineStr"/>
      <c r="O66" t="inlineStr"/>
      <c r="P66" t="inlineStr">
        <is>
          <t>BEARISH</t>
        </is>
      </c>
      <c r="Q66" t="inlineStr">
        <is>
          <t>INCLUDED (HYBRID_NEUTRAL_ZONE)</t>
        </is>
      </c>
      <c r="R66" t="n">
        <v>-9</v>
      </c>
      <c r="S66" t="inlineStr">
        <is>
          <t>Fixed Stop Loss</t>
        </is>
      </c>
      <c r="T66" t="n">
        <v>0.671</v>
      </c>
      <c r="U66" t="n">
        <v>0.7775</v>
      </c>
      <c r="V66" t="inlineStr">
        <is>
          <t>2026-01-16</t>
        </is>
      </c>
      <c r="W66" t="inlineStr">
        <is>
          <t>Between R1 and S1</t>
        </is>
      </c>
      <c r="X66" t="n">
        <v>25699.51</v>
      </c>
      <c r="Y66" t="n">
        <v>25770.25</v>
      </c>
      <c r="Z66" t="n">
        <v>25582.45</v>
      </c>
      <c r="AA66" t="n">
        <v>25874.9</v>
      </c>
      <c r="AB66" t="n">
        <v>25499.3</v>
      </c>
      <c r="AC66" t="n">
        <v>25958.05</v>
      </c>
      <c r="AD66" t="n">
        <v>25394.65</v>
      </c>
    </row>
    <row r="67">
      <c r="A67">
        <f>HYPERLINK("../../data_st50/JAN27_DYNAMIC/JAN21/OTM/NIFTY26JAN25200PE_strategy.csv", "NIFTY26JAN25200PE")</f>
        <v/>
      </c>
      <c r="B67" t="inlineStr">
        <is>
          <t>PE</t>
        </is>
      </c>
      <c r="C67" t="inlineStr">
        <is>
          <t>09:37:01</t>
        </is>
      </c>
      <c r="D67" t="inlineStr">
        <is>
          <t>10:58:00</t>
        </is>
      </c>
      <c r="E67" t="n">
        <v>119.95</v>
      </c>
      <c r="F67" t="n">
        <v>261.66</v>
      </c>
      <c r="G67" t="n">
        <v>198507.4</v>
      </c>
      <c r="H67" t="n">
        <v>198507.4</v>
      </c>
      <c r="I67" t="n">
        <v>138955.18</v>
      </c>
      <c r="J67" t="inlineStr">
        <is>
          <t>EXECUTED</t>
        </is>
      </c>
      <c r="K67" t="n">
        <v>43.77</v>
      </c>
      <c r="L67" t="n">
        <v>-12.46</v>
      </c>
      <c r="M67">
        <f>HYPERLINK("../../data_st50/JAN27_DYNAMIC/JAN21/OTM/NIFTY26JAN25200PE_strategy.html", "View")</f>
        <v/>
      </c>
      <c r="N67" t="inlineStr"/>
      <c r="O67" t="inlineStr"/>
      <c r="P67" t="inlineStr">
        <is>
          <t>NEUTRAL</t>
        </is>
      </c>
      <c r="Q67" t="inlineStr">
        <is>
          <t>INCLUDED</t>
        </is>
      </c>
      <c r="R67" t="n">
        <v>118.14</v>
      </c>
      <c r="S67" t="inlineStr">
        <is>
          <t>SuperTrend Stop Loss Exit</t>
        </is>
      </c>
      <c r="T67" t="n">
        <v>0.5224</v>
      </c>
      <c r="U67" t="n">
        <v>0.5193</v>
      </c>
      <c r="V67" t="inlineStr">
        <is>
          <t>2026-01-21</t>
        </is>
      </c>
      <c r="W67" t="inlineStr">
        <is>
          <t>Between R1 and S1</t>
        </is>
      </c>
      <c r="X67" t="n">
        <v>25205.99</v>
      </c>
      <c r="Y67" t="n">
        <v>25487.88</v>
      </c>
      <c r="Z67" t="n">
        <v>25074.23</v>
      </c>
      <c r="AA67" t="n">
        <v>25743.27</v>
      </c>
      <c r="AB67" t="n">
        <v>24915.97</v>
      </c>
      <c r="AC67" t="n">
        <v>25901.53</v>
      </c>
      <c r="AD67" t="n">
        <v>24660.58</v>
      </c>
    </row>
    <row r="68">
      <c r="A68">
        <f>HYPERLINK("../../data_st50/JAN27_DYNAMIC/JAN21/OTM/NIFTY26JAN25200PE_strategy.csv", "NIFTY26JAN25200PE")</f>
        <v/>
      </c>
      <c r="B68" t="inlineStr">
        <is>
          <t>PE</t>
        </is>
      </c>
      <c r="C68" t="inlineStr">
        <is>
          <t>09:29:01</t>
        </is>
      </c>
      <c r="D68" t="inlineStr">
        <is>
          <t>09:34:00</t>
        </is>
      </c>
      <c r="E68" t="n">
        <v>118.05</v>
      </c>
      <c r="F68" t="n">
        <v>107.43</v>
      </c>
      <c r="G68" t="n">
        <v>91000</v>
      </c>
      <c r="H68" t="n">
        <v>100000</v>
      </c>
      <c r="I68" t="n">
        <v>70000</v>
      </c>
      <c r="J68" t="inlineStr">
        <is>
          <t>EXECUTED</t>
        </is>
      </c>
      <c r="K68" t="n">
        <v>9.32</v>
      </c>
      <c r="L68" t="n">
        <v>-6.35</v>
      </c>
      <c r="M68">
        <f>HYPERLINK("../../data_st50/JAN27_DYNAMIC/JAN21/OTM/NIFTY26JAN25200PE_strategy.html", "View")</f>
        <v/>
      </c>
      <c r="N68" t="inlineStr"/>
      <c r="O68" t="inlineStr"/>
      <c r="P68" t="inlineStr">
        <is>
          <t>NEUTRAL</t>
        </is>
      </c>
      <c r="Q68" t="inlineStr">
        <is>
          <t>INCLUDED</t>
        </is>
      </c>
      <c r="R68" t="n">
        <v>-9</v>
      </c>
      <c r="S68" t="inlineStr">
        <is>
          <t>Fixed Stop Loss</t>
        </is>
      </c>
      <c r="T68" t="n">
        <v>0.4335</v>
      </c>
      <c r="U68" t="n">
        <v>0.4399</v>
      </c>
      <c r="V68" t="inlineStr">
        <is>
          <t>2026-01-21</t>
        </is>
      </c>
      <c r="W68" t="inlineStr">
        <is>
          <t>Between R1 and S1</t>
        </is>
      </c>
      <c r="X68" t="n">
        <v>25212.78</v>
      </c>
      <c r="Y68" t="n">
        <v>25487.88</v>
      </c>
      <c r="Z68" t="n">
        <v>25074.23</v>
      </c>
      <c r="AA68" t="n">
        <v>25743.27</v>
      </c>
      <c r="AB68" t="n">
        <v>24915.97</v>
      </c>
      <c r="AC68" t="n">
        <v>25901.53</v>
      </c>
      <c r="AD68" t="n">
        <v>24660.58</v>
      </c>
    </row>
    <row r="69">
      <c r="A69">
        <f>HYPERLINK("../../data_st50/JAN27_DYNAMIC/JAN23/OTM/NIFTY26JAN25200PE_strategy.csv", "NIFTY26JAN25200PE")</f>
        <v/>
      </c>
      <c r="B69" t="inlineStr">
        <is>
          <t>PE</t>
        </is>
      </c>
      <c r="C69" t="inlineStr">
        <is>
          <t>12:48:01</t>
        </is>
      </c>
      <c r="D69" t="inlineStr">
        <is>
          <t>12:54:00</t>
        </is>
      </c>
      <c r="E69" t="n">
        <v>78.59999999999999</v>
      </c>
      <c r="F69" t="n">
        <v>71.53</v>
      </c>
      <c r="G69" t="n">
        <v>121730.7</v>
      </c>
      <c r="H69" t="n">
        <v>147000</v>
      </c>
      <c r="I69" t="n">
        <v>102900</v>
      </c>
      <c r="J69" t="inlineStr">
        <is>
          <t>EXECUTED</t>
        </is>
      </c>
      <c r="K69" t="n">
        <v>6.36</v>
      </c>
      <c r="L69" t="n">
        <v>-18.19</v>
      </c>
      <c r="M69">
        <f>HYPERLINK("../../data_st50/JAN27_DYNAMIC/JAN23/OTM/NIFTY26JAN25200PE_strategy.html", "View")</f>
        <v/>
      </c>
      <c r="N69" t="inlineStr"/>
      <c r="O69" t="inlineStr"/>
      <c r="P69" t="inlineStr">
        <is>
          <t>NEUTRAL</t>
        </is>
      </c>
      <c r="Q69" t="inlineStr">
        <is>
          <t>INCLUDED</t>
        </is>
      </c>
      <c r="R69" t="n">
        <v>-8.99</v>
      </c>
      <c r="S69" t="inlineStr">
        <is>
          <t>Fixed Stop Loss</t>
        </is>
      </c>
      <c r="T69" t="n">
        <v>0.393</v>
      </c>
      <c r="U69" t="inlineStr"/>
      <c r="V69" t="inlineStr">
        <is>
          <t>2026-01-23</t>
        </is>
      </c>
      <c r="W69" t="inlineStr">
        <is>
          <t>Between R1 and S1</t>
        </is>
      </c>
      <c r="X69" t="n">
        <v>25215.56</v>
      </c>
      <c r="Y69" t="n">
        <v>25427.6</v>
      </c>
      <c r="Z69" t="n">
        <v>25160.35</v>
      </c>
      <c r="AA69" t="n">
        <v>25565.3</v>
      </c>
      <c r="AB69" t="n">
        <v>25030.8</v>
      </c>
      <c r="AC69" t="n">
        <v>25694.85</v>
      </c>
      <c r="AD69" t="n">
        <v>24893.1</v>
      </c>
    </row>
    <row r="70">
      <c r="A70">
        <f>HYPERLINK("../../data_st50/JAN27_DYNAMIC/JAN23/OTM/NIFTY26JAN25200PE_strategy.csv", "NIFTY26JAN25200PE")</f>
        <v/>
      </c>
      <c r="B70" t="inlineStr">
        <is>
          <t>PE</t>
        </is>
      </c>
      <c r="C70" t="inlineStr">
        <is>
          <t>12:25:01</t>
        </is>
      </c>
      <c r="D70" t="inlineStr">
        <is>
          <t>12:33:00</t>
        </is>
      </c>
      <c r="E70" t="n">
        <v>88.95</v>
      </c>
      <c r="F70" t="n">
        <v>80.94</v>
      </c>
      <c r="G70" t="n">
        <v>133755.3</v>
      </c>
      <c r="H70" t="n">
        <v>147000</v>
      </c>
      <c r="I70" t="n">
        <v>102900</v>
      </c>
      <c r="J70" t="inlineStr">
        <is>
          <t>EXECUTED</t>
        </is>
      </c>
      <c r="K70" t="n">
        <v>6.13</v>
      </c>
      <c r="L70" t="n">
        <v>-7.36</v>
      </c>
      <c r="M70">
        <f>HYPERLINK("../../data_st50/JAN27_DYNAMIC/JAN23/OTM/NIFTY26JAN25200PE_strategy.html", "View")</f>
        <v/>
      </c>
      <c r="N70" t="inlineStr"/>
      <c r="O70" t="inlineStr"/>
      <c r="P70" t="inlineStr">
        <is>
          <t>BEARISH</t>
        </is>
      </c>
      <c r="Q70" t="inlineStr">
        <is>
          <t>INCLUDED (HYBRID_NEUTRAL_ZONE)</t>
        </is>
      </c>
      <c r="R70" t="n">
        <v>-9.01</v>
      </c>
      <c r="S70" t="inlineStr">
        <is>
          <t>Fixed Stop Loss</t>
        </is>
      </c>
      <c r="T70" t="n">
        <v>0.3922</v>
      </c>
      <c r="U70" t="inlineStr"/>
      <c r="V70" t="inlineStr">
        <is>
          <t>2026-01-23</t>
        </is>
      </c>
      <c r="W70" t="inlineStr">
        <is>
          <t>Between R1 and S1</t>
        </is>
      </c>
      <c r="X70" t="n">
        <v>25202.49</v>
      </c>
      <c r="Y70" t="n">
        <v>25427.6</v>
      </c>
      <c r="Z70" t="n">
        <v>25160.35</v>
      </c>
      <c r="AA70" t="n">
        <v>25565.3</v>
      </c>
      <c r="AB70" t="n">
        <v>25030.8</v>
      </c>
      <c r="AC70" t="n">
        <v>25694.85</v>
      </c>
      <c r="AD70" t="n">
        <v>24893.1</v>
      </c>
    </row>
    <row r="71">
      <c r="A71">
        <f>HYPERLINK("../../data_st50/JAN27_DYNAMIC/JAN23/OTM/NIFTY26JAN25250PE_strategy.csv", "NIFTY26JAN25250PE")</f>
        <v/>
      </c>
      <c r="B71" t="inlineStr">
        <is>
          <t>PE</t>
        </is>
      </c>
      <c r="C71" t="inlineStr">
        <is>
          <t>11:16:01</t>
        </is>
      </c>
      <c r="D71" t="inlineStr">
        <is>
          <t>12:07:00</t>
        </is>
      </c>
      <c r="E71" t="n">
        <v>82.45</v>
      </c>
      <c r="F71" t="n">
        <v>121.2</v>
      </c>
      <c r="G71" t="n">
        <v>147000</v>
      </c>
      <c r="H71" t="n">
        <v>147000</v>
      </c>
      <c r="I71" t="n">
        <v>102900</v>
      </c>
      <c r="J71" t="inlineStr">
        <is>
          <t>EXECUTED</t>
        </is>
      </c>
      <c r="K71" t="n">
        <v>61.92</v>
      </c>
      <c r="L71" t="n">
        <v>-9.949999999999999</v>
      </c>
      <c r="M71">
        <f>HYPERLINK("../../data_st50/JAN27_DYNAMIC/JAN23/OTM/NIFTY26JAN25250PE_strategy.html", "View")</f>
        <v/>
      </c>
      <c r="N71" t="inlineStr"/>
      <c r="O71" t="inlineStr"/>
      <c r="P71" t="inlineStr">
        <is>
          <t>BEARISH</t>
        </is>
      </c>
      <c r="Q71" t="inlineStr">
        <is>
          <t>INCLUDED (HYBRID_NEUTRAL_ZONE)</t>
        </is>
      </c>
      <c r="R71" t="n">
        <v>47</v>
      </c>
      <c r="S71" t="inlineStr">
        <is>
          <t>Dynamic Trailing MA (Fast/Slow MA)</t>
        </is>
      </c>
      <c r="T71" t="n">
        <v>0.5</v>
      </c>
      <c r="U71" t="n">
        <v>0.457</v>
      </c>
      <c r="V71" t="inlineStr">
        <is>
          <t>2026-01-23</t>
        </is>
      </c>
      <c r="W71" t="inlineStr">
        <is>
          <t>Between R1 and S1</t>
        </is>
      </c>
      <c r="X71" t="n">
        <v>25278.69</v>
      </c>
      <c r="Y71" t="n">
        <v>25427.6</v>
      </c>
      <c r="Z71" t="n">
        <v>25160.35</v>
      </c>
      <c r="AA71" t="n">
        <v>25565.3</v>
      </c>
      <c r="AB71" t="n">
        <v>25030.8</v>
      </c>
      <c r="AC71" t="n">
        <v>25694.85</v>
      </c>
      <c r="AD71" t="n">
        <v>24893.1</v>
      </c>
    </row>
    <row r="72">
      <c r="A72">
        <f>HYPERLINK("../../data_st50/FEB03_DYNAMIC/FEB02/OTM/NIFTY2620324950PE_strategy.csv", "NIFTY2620324950PE")</f>
        <v/>
      </c>
      <c r="B72" t="inlineStr">
        <is>
          <t>PE</t>
        </is>
      </c>
      <c r="C72" t="inlineStr">
        <is>
          <t>13:56:01</t>
        </is>
      </c>
      <c r="D72" t="inlineStr">
        <is>
          <t>14:20:00</t>
        </is>
      </c>
      <c r="E72" t="n">
        <v>107.25</v>
      </c>
      <c r="F72" t="n">
        <v>111.75</v>
      </c>
      <c r="G72" t="n">
        <v>121203.03</v>
      </c>
      <c r="H72" t="n">
        <v>121203.03</v>
      </c>
      <c r="I72" t="n">
        <v>84842.12</v>
      </c>
      <c r="J72" t="inlineStr">
        <is>
          <t>EXECUTED</t>
        </is>
      </c>
      <c r="K72" t="n">
        <v>17.34</v>
      </c>
      <c r="L72" t="n">
        <v>-15.15</v>
      </c>
      <c r="M72">
        <f>HYPERLINK("../../data_st50/FEB03_DYNAMIC/FEB02/OTM/NIFTY2620324950PE_strategy.html", "View")</f>
        <v/>
      </c>
      <c r="N72" t="inlineStr"/>
      <c r="O72" t="inlineStr"/>
      <c r="P72" t="inlineStr">
        <is>
          <t>NEUTRAL</t>
        </is>
      </c>
      <c r="Q72" t="inlineStr">
        <is>
          <t>INCLUDED</t>
        </is>
      </c>
      <c r="R72" t="n">
        <v>4.2</v>
      </c>
      <c r="S72" t="inlineStr">
        <is>
          <t>Dynamic Trailing MA (Fast/Slow MA)</t>
        </is>
      </c>
      <c r="T72" t="n">
        <v>0.5124</v>
      </c>
      <c r="U72" t="n">
        <v>0.7359</v>
      </c>
      <c r="V72" t="inlineStr">
        <is>
          <t>2026-02-02</t>
        </is>
      </c>
      <c r="W72" t="inlineStr">
        <is>
          <t>Between R1 and S1</t>
        </is>
      </c>
      <c r="X72" t="n">
        <v>24954.86</v>
      </c>
      <c r="Y72" t="n">
        <v>25320.32</v>
      </c>
      <c r="Z72" t="n">
        <v>24451.17</v>
      </c>
      <c r="AA72" t="n">
        <v>25815.18</v>
      </c>
      <c r="AB72" t="n">
        <v>24076.88</v>
      </c>
      <c r="AC72" t="n">
        <v>26189.47</v>
      </c>
      <c r="AD72" t="n">
        <v>23582.02</v>
      </c>
    </row>
    <row r="73">
      <c r="A73">
        <f>HYPERLINK("../../data_st50/FEB03_DYNAMIC/FEB02/OTM/NIFTY2620324900CE_strategy.csv", "NIFTY2620324900CE")</f>
        <v/>
      </c>
      <c r="B73" t="inlineStr">
        <is>
          <t>CE</t>
        </is>
      </c>
      <c r="C73" t="inlineStr">
        <is>
          <t>13:38:01</t>
        </is>
      </c>
      <c r="D73" t="inlineStr">
        <is>
          <t>14:00:00</t>
        </is>
      </c>
      <c r="E73" t="n">
        <v>105.8</v>
      </c>
      <c r="F73" t="n">
        <v>130.59</v>
      </c>
      <c r="G73" t="n">
        <v>116317.69</v>
      </c>
      <c r="H73" t="n">
        <v>116317.69</v>
      </c>
      <c r="I73" t="n">
        <v>81422.38</v>
      </c>
      <c r="J73" t="inlineStr">
        <is>
          <t>EXECUTED</t>
        </is>
      </c>
      <c r="K73" t="n">
        <v>57.09</v>
      </c>
      <c r="L73" t="n">
        <v>-16.73</v>
      </c>
      <c r="M73">
        <f>HYPERLINK("../../data_st50/FEB03_DYNAMIC/FEB02/OTM/NIFTY2620324900CE_strategy.html", "View")</f>
        <v/>
      </c>
      <c r="N73" t="inlineStr"/>
      <c r="O73" t="inlineStr"/>
      <c r="P73" t="inlineStr">
        <is>
          <t>NEUTRAL</t>
        </is>
      </c>
      <c r="Q73" t="inlineStr">
        <is>
          <t>INCLUDED</t>
        </is>
      </c>
      <c r="R73" t="n">
        <v>23.43</v>
      </c>
      <c r="S73" t="inlineStr">
        <is>
          <t>SuperTrend Stop Loss Exit</t>
        </is>
      </c>
      <c r="T73" t="n">
        <v>0.7043</v>
      </c>
      <c r="U73" t="n">
        <v>0.7594</v>
      </c>
      <c r="V73" t="inlineStr">
        <is>
          <t>2026-02-02</t>
        </is>
      </c>
      <c r="W73" t="inlineStr">
        <is>
          <t>Between R1 and S1</t>
        </is>
      </c>
      <c r="X73" t="n">
        <v>24899.55</v>
      </c>
      <c r="Y73" t="n">
        <v>25320.32</v>
      </c>
      <c r="Z73" t="n">
        <v>24451.17</v>
      </c>
      <c r="AA73" t="n">
        <v>25815.18</v>
      </c>
      <c r="AB73" t="n">
        <v>24076.88</v>
      </c>
      <c r="AC73" t="n">
        <v>26189.47</v>
      </c>
      <c r="AD73" t="n">
        <v>23582.02</v>
      </c>
    </row>
    <row r="74">
      <c r="A74">
        <f>HYPERLINK("../../data_st50/FEB03_DYNAMIC/FEB02/OTM/NIFTY2620324900CE_strategy.csv", "NIFTY2620324900CE")</f>
        <v/>
      </c>
      <c r="B74" t="inlineStr">
        <is>
          <t>CE</t>
        </is>
      </c>
      <c r="C74" t="inlineStr">
        <is>
          <t>13:29:01</t>
        </is>
      </c>
      <c r="D74" t="inlineStr">
        <is>
          <t>13:30:00</t>
        </is>
      </c>
      <c r="E74" t="n">
        <v>110.1</v>
      </c>
      <c r="F74" t="n">
        <v>100.19</v>
      </c>
      <c r="G74" t="n">
        <v>94237.78</v>
      </c>
      <c r="H74" t="n">
        <v>103558</v>
      </c>
      <c r="I74" t="n">
        <v>72490.60000000001</v>
      </c>
      <c r="J74" t="inlineStr">
        <is>
          <t>EXECUTED</t>
        </is>
      </c>
      <c r="K74" t="n">
        <v>0</v>
      </c>
      <c r="L74" t="n">
        <v>-19.85</v>
      </c>
      <c r="M74">
        <f>HYPERLINK("../../data_st50/FEB03_DYNAMIC/FEB02/OTM/NIFTY2620324900CE_strategy.html", "View")</f>
        <v/>
      </c>
      <c r="N74" t="inlineStr"/>
      <c r="O74" t="inlineStr"/>
      <c r="P74" t="inlineStr">
        <is>
          <t>NEUTRAL</t>
        </is>
      </c>
      <c r="Q74" t="inlineStr">
        <is>
          <t>INCLUDED</t>
        </is>
      </c>
      <c r="R74" t="n">
        <v>-9</v>
      </c>
      <c r="S74" t="inlineStr">
        <is>
          <t>Fixed Stop Loss</t>
        </is>
      </c>
      <c r="T74" t="n">
        <v>0.3177</v>
      </c>
      <c r="U74" t="inlineStr"/>
      <c r="V74" t="inlineStr">
        <is>
          <t>2026-02-02</t>
        </is>
      </c>
      <c r="W74" t="inlineStr">
        <is>
          <t>Between R1 and S1</t>
        </is>
      </c>
      <c r="X74" t="n">
        <v>24900.16</v>
      </c>
      <c r="Y74" t="n">
        <v>25320.32</v>
      </c>
      <c r="Z74" t="n">
        <v>24451.17</v>
      </c>
      <c r="AA74" t="n">
        <v>25815.18</v>
      </c>
      <c r="AB74" t="n">
        <v>24076.88</v>
      </c>
      <c r="AC74" t="n">
        <v>26189.47</v>
      </c>
      <c r="AD74" t="n">
        <v>23582.02</v>
      </c>
    </row>
    <row r="75">
      <c r="A75">
        <f>HYPERLINK("../../data_st50/FEB03_DYNAMIC/FEB02/OTM/NIFTY2620324950PE_strategy.csv", "NIFTY2620324950PE")</f>
        <v/>
      </c>
      <c r="B75" t="inlineStr">
        <is>
          <t>PE</t>
        </is>
      </c>
      <c r="C75" t="inlineStr">
        <is>
          <t>13:15:01</t>
        </is>
      </c>
      <c r="D75" t="inlineStr">
        <is>
          <t>13:28:00</t>
        </is>
      </c>
      <c r="E75" t="n">
        <v>118.55</v>
      </c>
      <c r="F75" t="n">
        <v>134.91</v>
      </c>
      <c r="G75" t="n">
        <v>103558</v>
      </c>
      <c r="H75" t="n">
        <v>103558</v>
      </c>
      <c r="I75" t="n">
        <v>72490.60000000001</v>
      </c>
      <c r="J75" t="inlineStr">
        <is>
          <t>EXECUTED</t>
        </is>
      </c>
      <c r="K75" t="n">
        <v>43.86</v>
      </c>
      <c r="L75" t="n">
        <v>-11.39</v>
      </c>
      <c r="M75">
        <f>HYPERLINK("../../data_st50/FEB03_DYNAMIC/FEB02/OTM/NIFTY2620324950PE_strategy.html", "View")</f>
        <v/>
      </c>
      <c r="N75" t="inlineStr"/>
      <c r="O75" t="inlineStr"/>
      <c r="P75" t="inlineStr">
        <is>
          <t>NEUTRAL</t>
        </is>
      </c>
      <c r="Q75" t="inlineStr">
        <is>
          <t>INCLUDED</t>
        </is>
      </c>
      <c r="R75" t="n">
        <v>13.8</v>
      </c>
      <c r="S75" t="inlineStr">
        <is>
          <t>SuperTrend Stop Loss Exit</t>
        </is>
      </c>
      <c r="T75" t="n">
        <v>0.5911999999999999</v>
      </c>
      <c r="U75" t="n">
        <v>0.6682</v>
      </c>
      <c r="V75" t="inlineStr">
        <is>
          <t>2026-02-02</t>
        </is>
      </c>
      <c r="W75" t="inlineStr">
        <is>
          <t>Between R1 and S1</t>
        </is>
      </c>
      <c r="X75" t="n">
        <v>24934.17</v>
      </c>
      <c r="Y75" t="n">
        <v>25320.32</v>
      </c>
      <c r="Z75" t="n">
        <v>24451.17</v>
      </c>
      <c r="AA75" t="n">
        <v>25815.18</v>
      </c>
      <c r="AB75" t="n">
        <v>24076.88</v>
      </c>
      <c r="AC75" t="n">
        <v>26189.47</v>
      </c>
      <c r="AD75" t="n">
        <v>23582.02</v>
      </c>
    </row>
    <row r="76">
      <c r="A76">
        <f>HYPERLINK("../../data_st50/FEB03_DYNAMIC/FEB02/OTM/NIFTY2620324900CE_strategy.csv", "NIFTY2620324900CE")</f>
        <v/>
      </c>
      <c r="B76" t="inlineStr">
        <is>
          <t>CE</t>
        </is>
      </c>
      <c r="C76" t="inlineStr">
        <is>
          <t>12:40:01</t>
        </is>
      </c>
      <c r="D76" t="inlineStr">
        <is>
          <t>12:45:00</t>
        </is>
      </c>
      <c r="E76" t="n">
        <v>105.9</v>
      </c>
      <c r="F76" t="n">
        <v>96.37</v>
      </c>
      <c r="G76" t="n">
        <v>91000</v>
      </c>
      <c r="H76" t="n">
        <v>100000</v>
      </c>
      <c r="I76" t="n">
        <v>70000</v>
      </c>
      <c r="J76" t="inlineStr">
        <is>
          <t>EXECUTED</t>
        </is>
      </c>
      <c r="K76" t="n">
        <v>0.9399999999999999</v>
      </c>
      <c r="L76" t="n">
        <v>-12.42</v>
      </c>
      <c r="M76">
        <f>HYPERLINK("../../data_st50/FEB03_DYNAMIC/FEB02/OTM/NIFTY2620324900CE_strategy.html", "View")</f>
        <v/>
      </c>
      <c r="N76" t="inlineStr"/>
      <c r="O76" t="inlineStr"/>
      <c r="P76" t="inlineStr">
        <is>
          <t>NEUTRAL</t>
        </is>
      </c>
      <c r="Q76" t="inlineStr">
        <is>
          <t>INCLUDED</t>
        </is>
      </c>
      <c r="R76" t="n">
        <v>-9</v>
      </c>
      <c r="S76" t="inlineStr">
        <is>
          <t>Fixed Stop Loss</t>
        </is>
      </c>
      <c r="T76" t="n">
        <v>0.4298</v>
      </c>
      <c r="U76" t="inlineStr"/>
      <c r="V76" t="inlineStr">
        <is>
          <t>2026-02-02</t>
        </is>
      </c>
      <c r="W76" t="inlineStr">
        <is>
          <t>Between R1 and S1</t>
        </is>
      </c>
      <c r="X76" t="n">
        <v>24883.92</v>
      </c>
      <c r="Y76" t="n">
        <v>25320.32</v>
      </c>
      <c r="Z76" t="n">
        <v>24451.17</v>
      </c>
      <c r="AA76" t="n">
        <v>25815.18</v>
      </c>
      <c r="AB76" t="n">
        <v>24076.88</v>
      </c>
      <c r="AC76" t="n">
        <v>26189.47</v>
      </c>
      <c r="AD76" t="n">
        <v>23582.02</v>
      </c>
    </row>
    <row r="77">
      <c r="A77">
        <f>HYPERLINK("../../data_st50/FEB10_DYNAMIC/FEB05/OTM/NIFTY2621025600PE_strategy.csv", "NIFTY2621025600PE")</f>
        <v/>
      </c>
      <c r="B77" t="inlineStr">
        <is>
          <t>PE</t>
        </is>
      </c>
      <c r="C77" t="inlineStr">
        <is>
          <t>13:45:01</t>
        </is>
      </c>
      <c r="D77" t="inlineStr">
        <is>
          <t>14:27:00</t>
        </is>
      </c>
      <c r="E77" t="n">
        <v>110.35</v>
      </c>
      <c r="F77" t="n">
        <v>120.15</v>
      </c>
      <c r="G77" t="n">
        <v>108880</v>
      </c>
      <c r="H77" t="n">
        <v>108880</v>
      </c>
      <c r="I77" t="n">
        <v>76216</v>
      </c>
      <c r="J77" t="inlineStr">
        <is>
          <t>EXECUTED</t>
        </is>
      </c>
      <c r="K77" t="n">
        <v>24.11</v>
      </c>
      <c r="L77" t="n">
        <v>-3.4</v>
      </c>
      <c r="M77">
        <f>HYPERLINK("../../data_st50/FEB10_DYNAMIC/FEB05/OTM/NIFTY2621025600PE_strategy.html", "View")</f>
        <v/>
      </c>
      <c r="N77" t="inlineStr"/>
      <c r="O77" t="inlineStr"/>
      <c r="P77" t="inlineStr">
        <is>
          <t>BULLISH</t>
        </is>
      </c>
      <c r="Q77" t="inlineStr">
        <is>
          <t>INCLUDED (HYBRID_NEUTRAL_ZONE)</t>
        </is>
      </c>
      <c r="R77" t="n">
        <v>8.880000000000001</v>
      </c>
      <c r="S77" t="inlineStr">
        <is>
          <t>SuperTrend Stop Loss Exit</t>
        </is>
      </c>
      <c r="T77" t="n">
        <v>0.1746</v>
      </c>
      <c r="U77" t="n">
        <v>0.7020999999999999</v>
      </c>
      <c r="V77" t="inlineStr">
        <is>
          <t>2026-02-05</t>
        </is>
      </c>
      <c r="W77" t="inlineStr">
        <is>
          <t>Between R1 and S1</t>
        </is>
      </c>
      <c r="X77" t="n">
        <v>25634.72</v>
      </c>
      <c r="Y77" t="n">
        <v>25875.05</v>
      </c>
      <c r="Z77" t="n">
        <v>25620.45</v>
      </c>
      <c r="AA77" t="n">
        <v>25974.1</v>
      </c>
      <c r="AB77" t="n">
        <v>25464.9</v>
      </c>
      <c r="AC77" t="n">
        <v>26129.65</v>
      </c>
      <c r="AD77" t="n">
        <v>25365.85</v>
      </c>
    </row>
    <row r="78">
      <c r="A78">
        <f>HYPERLINK("../../data_st50/FEB10_DYNAMIC/FEB06/OTM/NIFTY2621025600CE_strategy.csv", "NIFTY2621025600CE")</f>
        <v/>
      </c>
      <c r="B78" t="inlineStr">
        <is>
          <t>CE</t>
        </is>
      </c>
      <c r="C78" t="inlineStr">
        <is>
          <t>13:35:01</t>
        </is>
      </c>
      <c r="D78" t="inlineStr">
        <is>
          <t>14:16:00</t>
        </is>
      </c>
      <c r="E78" t="n">
        <v>86.40000000000001</v>
      </c>
      <c r="F78" t="n">
        <v>108.4</v>
      </c>
      <c r="G78" t="n">
        <v>225120.13</v>
      </c>
      <c r="H78" t="n">
        <v>225120.13</v>
      </c>
      <c r="I78" t="n">
        <v>157584.09</v>
      </c>
      <c r="J78" t="inlineStr">
        <is>
          <t>EXECUTED</t>
        </is>
      </c>
      <c r="K78" t="n">
        <v>47.86</v>
      </c>
      <c r="L78" t="n">
        <v>-8.039999999999999</v>
      </c>
      <c r="M78">
        <f>HYPERLINK("../../data_st50/FEB10_DYNAMIC/FEB06/OTM/NIFTY2621025600CE_strategy.html", "View")</f>
        <v/>
      </c>
      <c r="N78" t="inlineStr"/>
      <c r="O78" t="inlineStr"/>
      <c r="P78" t="inlineStr">
        <is>
          <t>NEUTRAL</t>
        </is>
      </c>
      <c r="Q78" t="inlineStr">
        <is>
          <t>INCLUDED</t>
        </is>
      </c>
      <c r="R78" t="n">
        <v>25.46</v>
      </c>
      <c r="S78" t="inlineStr">
        <is>
          <t>SuperTrend Stop Loss Exit</t>
        </is>
      </c>
      <c r="T78" t="n">
        <v>0.5034</v>
      </c>
      <c r="U78" t="n">
        <v>0.5841</v>
      </c>
      <c r="V78" t="inlineStr">
        <is>
          <t>2026-02-06</t>
        </is>
      </c>
      <c r="W78" t="inlineStr">
        <is>
          <t>Between R1 and S1</t>
        </is>
      </c>
      <c r="X78" t="n">
        <v>25565.51</v>
      </c>
      <c r="Y78" t="n">
        <v>25740.47</v>
      </c>
      <c r="Z78" t="n">
        <v>25562.32</v>
      </c>
      <c r="AA78" t="n">
        <v>25838.13</v>
      </c>
      <c r="AB78" t="n">
        <v>25481.83</v>
      </c>
      <c r="AC78" t="n">
        <v>25918.62</v>
      </c>
      <c r="AD78" t="n">
        <v>25384.17</v>
      </c>
    </row>
    <row r="79">
      <c r="A79">
        <f>HYPERLINK("../../data_st50/FEB10_DYNAMIC/FEB06/OTM/NIFTY2621025550PE_strategy.csv", "NIFTY2621025550PE")</f>
        <v/>
      </c>
      <c r="B79" t="inlineStr">
        <is>
          <t>PE</t>
        </is>
      </c>
      <c r="C79" t="inlineStr">
        <is>
          <t>13:28:01</t>
        </is>
      </c>
      <c r="D79" t="inlineStr">
        <is>
          <t>13:37:00</t>
        </is>
      </c>
      <c r="E79" t="n">
        <v>92.25</v>
      </c>
      <c r="F79" t="n">
        <v>83.95</v>
      </c>
      <c r="G79" t="n">
        <v>179435.78</v>
      </c>
      <c r="H79" t="n">
        <v>206950.23</v>
      </c>
      <c r="I79" t="n">
        <v>144865.16</v>
      </c>
      <c r="J79" t="inlineStr">
        <is>
          <t>EXECUTED</t>
        </is>
      </c>
      <c r="K79" t="n">
        <v>10.08</v>
      </c>
      <c r="L79" t="n">
        <v>-4.72</v>
      </c>
      <c r="M79">
        <f>HYPERLINK("../../data_st50/FEB10_DYNAMIC/FEB06/OTM/NIFTY2621025550PE_strategy.html", "View")</f>
        <v/>
      </c>
      <c r="N79" t="inlineStr"/>
      <c r="O79" t="inlineStr"/>
      <c r="P79" t="inlineStr">
        <is>
          <t>NEUTRAL</t>
        </is>
      </c>
      <c r="Q79" t="inlineStr">
        <is>
          <t>INCLUDED</t>
        </is>
      </c>
      <c r="R79" t="n">
        <v>-9</v>
      </c>
      <c r="S79" t="inlineStr">
        <is>
          <t>Fixed Stop Loss</t>
        </is>
      </c>
      <c r="T79" t="n">
        <v>0.2977</v>
      </c>
      <c r="U79" t="n">
        <v>0.5995</v>
      </c>
      <c r="V79" t="inlineStr">
        <is>
          <t>2026-02-06</t>
        </is>
      </c>
      <c r="W79" t="inlineStr">
        <is>
          <t>Between R1 and S1</t>
        </is>
      </c>
      <c r="X79" t="n">
        <v>25569.46</v>
      </c>
      <c r="Y79" t="n">
        <v>25740.47</v>
      </c>
      <c r="Z79" t="n">
        <v>25562.32</v>
      </c>
      <c r="AA79" t="n">
        <v>25838.13</v>
      </c>
      <c r="AB79" t="n">
        <v>25481.83</v>
      </c>
      <c r="AC79" t="n">
        <v>25918.62</v>
      </c>
      <c r="AD79" t="n">
        <v>25384.17</v>
      </c>
    </row>
    <row r="80">
      <c r="A80">
        <f>HYPERLINK("../../data_st50/FEB10_DYNAMIC/FEB06/OTM/NIFTY2621025650PE_strategy.csv", "NIFTY2621025650PE")</f>
        <v/>
      </c>
      <c r="B80" t="inlineStr">
        <is>
          <t>PE</t>
        </is>
      </c>
      <c r="C80" t="inlineStr">
        <is>
          <t>12:03:01</t>
        </is>
      </c>
      <c r="D80" t="inlineStr">
        <is>
          <t>12:47:00</t>
        </is>
      </c>
      <c r="E80" t="n">
        <v>116.75</v>
      </c>
      <c r="F80" t="n">
        <v>148.74</v>
      </c>
      <c r="G80" t="n">
        <v>206950.23</v>
      </c>
      <c r="H80" t="n">
        <v>206950.23</v>
      </c>
      <c r="I80" t="n">
        <v>144865.16</v>
      </c>
      <c r="J80" t="inlineStr">
        <is>
          <t>EXECUTED</t>
        </is>
      </c>
      <c r="K80" t="n">
        <v>44.71</v>
      </c>
      <c r="L80" t="n">
        <v>-9.85</v>
      </c>
      <c r="M80">
        <f>HYPERLINK("../../data_st50/FEB10_DYNAMIC/FEB06/OTM/NIFTY2621025650PE_strategy.html", "View")</f>
        <v/>
      </c>
      <c r="N80" t="inlineStr"/>
      <c r="O80" t="inlineStr"/>
      <c r="P80" t="inlineStr">
        <is>
          <t>BEARISH</t>
        </is>
      </c>
      <c r="Q80" t="inlineStr">
        <is>
          <t>INCLUDED (HYBRID_NEUTRAL_ZONE)</t>
        </is>
      </c>
      <c r="R80" t="n">
        <v>27.4</v>
      </c>
      <c r="S80" t="inlineStr">
        <is>
          <t>SuperTrend Stop Loss Exit</t>
        </is>
      </c>
      <c r="T80" t="n">
        <v>0.5629999999999999</v>
      </c>
      <c r="U80" t="n">
        <v>0.6291</v>
      </c>
      <c r="V80" t="inlineStr">
        <is>
          <t>2026-02-06</t>
        </is>
      </c>
      <c r="W80" t="inlineStr">
        <is>
          <t>Between R1 and S1</t>
        </is>
      </c>
      <c r="X80" t="n">
        <v>25631.58</v>
      </c>
      <c r="Y80" t="n">
        <v>25740.47</v>
      </c>
      <c r="Z80" t="n">
        <v>25562.32</v>
      </c>
      <c r="AA80" t="n">
        <v>25838.13</v>
      </c>
      <c r="AB80" t="n">
        <v>25481.83</v>
      </c>
      <c r="AC80" t="n">
        <v>25918.62</v>
      </c>
      <c r="AD80" t="n">
        <v>25384.17</v>
      </c>
    </row>
    <row r="81">
      <c r="A81">
        <f>HYPERLINK("../../data_st50/FEB17_DYNAMIC/FEB11/OTM/NIFTY2621725950PE_strategy.csv", "NIFTY2621725950PE")</f>
        <v/>
      </c>
      <c r="B81" t="inlineStr">
        <is>
          <t>PE</t>
        </is>
      </c>
      <c r="C81" t="inlineStr">
        <is>
          <t>13:45:01</t>
        </is>
      </c>
      <c r="D81" t="inlineStr">
        <is>
          <t>14:10:00</t>
        </is>
      </c>
      <c r="E81" t="n">
        <v>103</v>
      </c>
      <c r="F81" t="n">
        <v>108.3</v>
      </c>
      <c r="G81" t="n">
        <v>109244.4</v>
      </c>
      <c r="H81" t="n">
        <v>109244.4</v>
      </c>
      <c r="I81" t="n">
        <v>76471.08</v>
      </c>
      <c r="J81" t="inlineStr">
        <is>
          <t>EXECUTED</t>
        </is>
      </c>
      <c r="K81" t="n">
        <v>12.09</v>
      </c>
      <c r="L81" t="n">
        <v>-6.8</v>
      </c>
      <c r="M81">
        <f>HYPERLINK("../../data_st50/FEB17_DYNAMIC/FEB11/OTM/NIFTY2621725950PE_strategy.html", "View")</f>
        <v/>
      </c>
      <c r="N81" t="inlineStr"/>
      <c r="O81" t="inlineStr"/>
      <c r="P81" t="inlineStr">
        <is>
          <t>BEARISH</t>
        </is>
      </c>
      <c r="Q81" t="inlineStr">
        <is>
          <t>INCLUDED (HYBRID_NEUTRAL_ZONE)</t>
        </is>
      </c>
      <c r="R81" t="n">
        <v>5.15</v>
      </c>
      <c r="S81" t="inlineStr">
        <is>
          <t>Dynamic Trailing MA (Fast/Slow MA)</t>
        </is>
      </c>
      <c r="T81" t="n">
        <v>0.4097</v>
      </c>
      <c r="U81" t="n">
        <v>0.5612</v>
      </c>
      <c r="V81" t="inlineStr">
        <is>
          <t>2026-02-11</t>
        </is>
      </c>
      <c r="W81" t="inlineStr">
        <is>
          <t>Between R1 and S1</t>
        </is>
      </c>
      <c r="X81" t="n">
        <v>25952.65</v>
      </c>
      <c r="Y81" t="n">
        <v>25992.92</v>
      </c>
      <c r="Z81" t="n">
        <v>25873.92</v>
      </c>
      <c r="AA81" t="n">
        <v>26050.68</v>
      </c>
      <c r="AB81" t="n">
        <v>25812.68</v>
      </c>
      <c r="AC81" t="n">
        <v>26111.92</v>
      </c>
      <c r="AD81" t="n">
        <v>25754.92</v>
      </c>
    </row>
    <row r="82">
      <c r="A82">
        <f>HYPERLINK("../../data_st50/FEB17_DYNAMIC/FEB11/OTM/NIFTY2621726000CE_strategy.csv", "NIFTY2621726000CE")</f>
        <v/>
      </c>
      <c r="B82" t="inlineStr">
        <is>
          <t>CE</t>
        </is>
      </c>
      <c r="C82" t="inlineStr">
        <is>
          <t>12:03:01</t>
        </is>
      </c>
      <c r="D82" t="inlineStr">
        <is>
          <t>12:08:00</t>
        </is>
      </c>
      <c r="E82" t="n">
        <v>111.25</v>
      </c>
      <c r="F82" t="n">
        <v>103.65</v>
      </c>
      <c r="G82" t="n">
        <v>93170</v>
      </c>
      <c r="H82" t="n">
        <v>100000</v>
      </c>
      <c r="I82" t="n">
        <v>70000</v>
      </c>
      <c r="J82" t="inlineStr">
        <is>
          <t>EXECUTED</t>
        </is>
      </c>
      <c r="K82" t="n">
        <v>0</v>
      </c>
      <c r="L82" t="n">
        <v>-4.9</v>
      </c>
      <c r="M82">
        <f>HYPERLINK("../../data_st50/FEB17_DYNAMIC/FEB11/OTM/NIFTY2621726000CE_strategy.html", "View")</f>
        <v/>
      </c>
      <c r="N82" t="inlineStr"/>
      <c r="O82" t="inlineStr"/>
      <c r="P82" t="inlineStr">
        <is>
          <t>NEUTRAL</t>
        </is>
      </c>
      <c r="Q82" t="inlineStr">
        <is>
          <t>INCLUDED</t>
        </is>
      </c>
      <c r="R82" t="n">
        <v>-6.83</v>
      </c>
      <c r="S82" t="inlineStr">
        <is>
          <t>Fixed Stop Loss</t>
        </is>
      </c>
      <c r="T82" t="n">
        <v>0.3724</v>
      </c>
      <c r="U82" t="inlineStr"/>
      <c r="V82" t="inlineStr">
        <is>
          <t>2026-02-11</t>
        </is>
      </c>
      <c r="W82" t="inlineStr">
        <is>
          <t>Between R1 and S1</t>
        </is>
      </c>
      <c r="X82" t="n">
        <v>25957.42</v>
      </c>
      <c r="Y82" t="n">
        <v>25992.92</v>
      </c>
      <c r="Z82" t="n">
        <v>25873.92</v>
      </c>
      <c r="AA82" t="n">
        <v>26050.68</v>
      </c>
      <c r="AB82" t="n">
        <v>25812.68</v>
      </c>
      <c r="AC82" t="n">
        <v>26111.92</v>
      </c>
      <c r="AD82" t="n">
        <v>25754.92</v>
      </c>
    </row>
    <row r="83">
      <c r="A83">
        <f>HYPERLINK("../../data_st50/FEB17_DYNAMIC/FEB11/OTM/NIFTY2621725950PE_strategy.csv", "NIFTY2621725950PE")</f>
        <v/>
      </c>
      <c r="B83" t="inlineStr">
        <is>
          <t>PE</t>
        </is>
      </c>
      <c r="C83" t="inlineStr">
        <is>
          <t>11:39:01</t>
        </is>
      </c>
      <c r="D83" t="inlineStr">
        <is>
          <t>12:19:00</t>
        </is>
      </c>
      <c r="E83" t="n">
        <v>98.2</v>
      </c>
      <c r="F83" t="n">
        <v>109.5</v>
      </c>
      <c r="G83" t="n">
        <v>103893.87</v>
      </c>
      <c r="H83" t="n">
        <v>103893.87</v>
      </c>
      <c r="I83" t="n">
        <v>72725.71000000001</v>
      </c>
      <c r="J83" t="inlineStr">
        <is>
          <t>EXECUTED</t>
        </is>
      </c>
      <c r="K83" t="n">
        <v>17.16</v>
      </c>
      <c r="L83" t="n">
        <v>-3.77</v>
      </c>
      <c r="M83">
        <f>HYPERLINK("../../data_st50/FEB17_DYNAMIC/FEB11/OTM/NIFTY2621725950PE_strategy.html", "View")</f>
        <v/>
      </c>
      <c r="N83" t="inlineStr"/>
      <c r="O83" t="inlineStr"/>
      <c r="P83" t="inlineStr">
        <is>
          <t>NEUTRAL</t>
        </is>
      </c>
      <c r="Q83" t="inlineStr">
        <is>
          <t>INCLUDED</t>
        </is>
      </c>
      <c r="R83" t="n">
        <v>11.51</v>
      </c>
      <c r="S83" t="inlineStr">
        <is>
          <t>Dynamic Trailing MA (Fast/Slow MA)</t>
        </is>
      </c>
      <c r="T83" t="n">
        <v>0.2708</v>
      </c>
      <c r="U83" t="n">
        <v>0.7664</v>
      </c>
      <c r="V83" t="inlineStr">
        <is>
          <t>2026-02-11</t>
        </is>
      </c>
      <c r="W83" t="inlineStr">
        <is>
          <t>Between R1 and S1</t>
        </is>
      </c>
      <c r="X83" t="n">
        <v>25969.09</v>
      </c>
      <c r="Y83" t="n">
        <v>25992.92</v>
      </c>
      <c r="Z83" t="n">
        <v>25873.92</v>
      </c>
      <c r="AA83" t="n">
        <v>26050.68</v>
      </c>
      <c r="AB83" t="n">
        <v>25812.68</v>
      </c>
      <c r="AC83" t="n">
        <v>26111.92</v>
      </c>
      <c r="AD83" t="n">
        <v>25754.92</v>
      </c>
    </row>
    <row r="84">
      <c r="A84">
        <f>HYPERLINK("../../data_st50/FEB17_DYNAMIC/FEB16/OTM/NIFTY2621725550PE_strategy.csv", "NIFTY2621725550PE")</f>
        <v/>
      </c>
      <c r="B84" t="inlineStr">
        <is>
          <t>PE</t>
        </is>
      </c>
      <c r="C84" t="inlineStr">
        <is>
          <t>13:13:01</t>
        </is>
      </c>
      <c r="D84" t="inlineStr">
        <is>
          <t>13:28:00</t>
        </is>
      </c>
      <c r="E84" t="n">
        <v>63.5</v>
      </c>
      <c r="F84" t="n">
        <v>57.78</v>
      </c>
      <c r="G84" t="n">
        <v>179769.89</v>
      </c>
      <c r="H84" t="n">
        <v>209082.27</v>
      </c>
      <c r="I84" t="n">
        <v>146357.59</v>
      </c>
      <c r="J84" t="inlineStr">
        <is>
          <t>EXECUTED</t>
        </is>
      </c>
      <c r="K84" t="n">
        <v>5.04</v>
      </c>
      <c r="L84" t="n">
        <v>-5.12</v>
      </c>
      <c r="M84">
        <f>HYPERLINK("../../data_st50/FEB17_DYNAMIC/FEB16/OTM/NIFTY2621725550PE_strategy.html", "View")</f>
        <v/>
      </c>
      <c r="N84" t="inlineStr"/>
      <c r="O84" t="inlineStr"/>
      <c r="P84" t="inlineStr">
        <is>
          <t>BULLISH</t>
        </is>
      </c>
      <c r="Q84" t="inlineStr">
        <is>
          <t>INCLUDED (HYBRID_NEUTRAL_ZONE)</t>
        </is>
      </c>
      <c r="R84" t="n">
        <v>-9.01</v>
      </c>
      <c r="S84" t="inlineStr">
        <is>
          <t>Fixed Stop Loss</t>
        </is>
      </c>
      <c r="T84" t="n">
        <v>0.223</v>
      </c>
      <c r="U84" t="inlineStr"/>
      <c r="V84" t="inlineStr">
        <is>
          <t>2026-02-16</t>
        </is>
      </c>
      <c r="W84" t="inlineStr">
        <is>
          <t>Between R1 and S1</t>
        </is>
      </c>
      <c r="X84" t="n">
        <v>25576.76</v>
      </c>
      <c r="Y84" t="n">
        <v>25586.2</v>
      </c>
      <c r="Z84" t="n">
        <v>25400.15</v>
      </c>
      <c r="AA84" t="n">
        <v>25701.3</v>
      </c>
      <c r="AB84" t="n">
        <v>25329.2</v>
      </c>
      <c r="AC84" t="n">
        <v>25772.25</v>
      </c>
      <c r="AD84" t="n">
        <v>25214.1</v>
      </c>
    </row>
    <row r="85">
      <c r="A85">
        <f>HYPERLINK("../../data_st50/FEB17_DYNAMIC/FEB16/OTM/NIFTY2621725600CE_strategy.csv", "NIFTY2621725600CE")</f>
        <v/>
      </c>
      <c r="B85" t="inlineStr">
        <is>
          <t>CE</t>
        </is>
      </c>
      <c r="C85" t="inlineStr">
        <is>
          <t>13:01:01</t>
        </is>
      </c>
      <c r="D85" t="inlineStr">
        <is>
          <t>13:21:00</t>
        </is>
      </c>
      <c r="E85" t="n">
        <v>63.75</v>
      </c>
      <c r="F85" t="n">
        <v>66.2</v>
      </c>
      <c r="G85" t="n">
        <v>197571.04</v>
      </c>
      <c r="H85" t="n">
        <v>209082.27</v>
      </c>
      <c r="I85" t="n">
        <v>146357.59</v>
      </c>
      <c r="J85" t="inlineStr">
        <is>
          <t>EXECUTED</t>
        </is>
      </c>
      <c r="K85" t="n">
        <v>10.27</v>
      </c>
      <c r="L85" t="n">
        <v>-10.59</v>
      </c>
      <c r="M85">
        <f>HYPERLINK("../../data_st50/FEB17_DYNAMIC/FEB16/OTM/NIFTY2621725600CE_strategy.html", "View")</f>
        <v/>
      </c>
      <c r="N85" t="inlineStr"/>
      <c r="O85" t="inlineStr"/>
      <c r="P85" t="inlineStr">
        <is>
          <t>BULLISH</t>
        </is>
      </c>
      <c r="Q85" t="inlineStr">
        <is>
          <t>INCLUDED (HYBRID_NEUTRAL_ZONE)</t>
        </is>
      </c>
      <c r="R85" t="n">
        <v>3.84</v>
      </c>
      <c r="S85" t="inlineStr">
        <is>
          <t>Dynamic Trailing MA (Fast/Slow MA)</t>
        </is>
      </c>
      <c r="T85" t="n">
        <v>0.5198</v>
      </c>
      <c r="U85" t="n">
        <v>0.5569</v>
      </c>
      <c r="V85" t="inlineStr">
        <is>
          <t>2026-02-16</t>
        </is>
      </c>
      <c r="W85" t="inlineStr">
        <is>
          <t>Between R1 and S1</t>
        </is>
      </c>
      <c r="X85" t="n">
        <v>25572.33</v>
      </c>
      <c r="Y85" t="n">
        <v>25586.2</v>
      </c>
      <c r="Z85" t="n">
        <v>25400.15</v>
      </c>
      <c r="AA85" t="n">
        <v>25701.3</v>
      </c>
      <c r="AB85" t="n">
        <v>25329.2</v>
      </c>
      <c r="AC85" t="n">
        <v>25772.25</v>
      </c>
      <c r="AD85" t="n">
        <v>25214.1</v>
      </c>
    </row>
    <row r="86">
      <c r="A86">
        <f>HYPERLINK("../../data_st50/FEB17_DYNAMIC/FEB16/OTM/NIFTY2621725600CE_strategy.csv", "NIFTY2621725600CE")</f>
        <v/>
      </c>
      <c r="B86" t="inlineStr">
        <is>
          <t>CE</t>
        </is>
      </c>
      <c r="C86" t="inlineStr">
        <is>
          <t>12:54:01</t>
        </is>
      </c>
      <c r="D86" t="inlineStr">
        <is>
          <t>12:58:00</t>
        </is>
      </c>
      <c r="E86" t="n">
        <v>64.55</v>
      </c>
      <c r="F86" t="n">
        <v>58.74</v>
      </c>
      <c r="G86" t="n">
        <v>190264.87</v>
      </c>
      <c r="H86" t="n">
        <v>209082.27</v>
      </c>
      <c r="I86" t="n">
        <v>146357.59</v>
      </c>
      <c r="J86" t="inlineStr">
        <is>
          <t>EXECUTED</t>
        </is>
      </c>
      <c r="K86" t="n">
        <v>4.96</v>
      </c>
      <c r="L86" t="n">
        <v>-8.210000000000001</v>
      </c>
      <c r="M86">
        <f>HYPERLINK("../../data_st50/FEB17_DYNAMIC/FEB16/OTM/NIFTY2621725600CE_strategy.html", "View")</f>
        <v/>
      </c>
      <c r="N86" t="inlineStr"/>
      <c r="O86" t="inlineStr"/>
      <c r="P86" t="inlineStr">
        <is>
          <t>BULLISH</t>
        </is>
      </c>
      <c r="Q86" t="inlineStr">
        <is>
          <t>INCLUDED (HYBRID_NEUTRAL_ZONE)</t>
        </is>
      </c>
      <c r="R86" t="n">
        <v>-9</v>
      </c>
      <c r="S86" t="inlineStr">
        <is>
          <t>Fixed Stop Loss</t>
        </is>
      </c>
      <c r="T86" t="n">
        <v>0.4864</v>
      </c>
      <c r="U86" t="inlineStr"/>
      <c r="V86" t="inlineStr">
        <is>
          <t>2026-02-16</t>
        </is>
      </c>
      <c r="W86" t="inlineStr">
        <is>
          <t>Between R1 and S1</t>
        </is>
      </c>
      <c r="X86" t="n">
        <v>25566.42</v>
      </c>
      <c r="Y86" t="n">
        <v>25586.2</v>
      </c>
      <c r="Z86" t="n">
        <v>25400.15</v>
      </c>
      <c r="AA86" t="n">
        <v>25701.3</v>
      </c>
      <c r="AB86" t="n">
        <v>25329.2</v>
      </c>
      <c r="AC86" t="n">
        <v>25772.25</v>
      </c>
      <c r="AD86" t="n">
        <v>25214.1</v>
      </c>
    </row>
    <row r="87">
      <c r="A87">
        <f>HYPERLINK("../../data_st50/FEB17_DYNAMIC/FEB16/OTM/NIFTY2621725550CE_strategy.csv", "NIFTY2621725550CE")</f>
        <v/>
      </c>
      <c r="B87" t="inlineStr">
        <is>
          <t>CE</t>
        </is>
      </c>
      <c r="C87" t="inlineStr">
        <is>
          <t>11:57:01</t>
        </is>
      </c>
      <c r="D87" t="inlineStr">
        <is>
          <t>12:49:00</t>
        </is>
      </c>
      <c r="E87" t="n">
        <v>66.65000000000001</v>
      </c>
      <c r="F87" t="n">
        <v>88.5</v>
      </c>
      <c r="G87" t="n">
        <v>209082.27</v>
      </c>
      <c r="H87" t="n">
        <v>209082.27</v>
      </c>
      <c r="I87" t="n">
        <v>146357.59</v>
      </c>
      <c r="J87" t="inlineStr">
        <is>
          <t>EXECUTED</t>
        </is>
      </c>
      <c r="K87" t="n">
        <v>58.96</v>
      </c>
      <c r="L87" t="n">
        <v>-6.83</v>
      </c>
      <c r="M87">
        <f>HYPERLINK("../../data_st50/FEB17_DYNAMIC/FEB16/OTM/NIFTY2621725550CE_strategy.html", "View")</f>
        <v/>
      </c>
      <c r="N87" t="inlineStr"/>
      <c r="O87" t="inlineStr"/>
      <c r="P87" t="inlineStr">
        <is>
          <t>BULLISH</t>
        </is>
      </c>
      <c r="Q87" t="inlineStr">
        <is>
          <t>INCLUDED (HYBRID_NEUTRAL_ZONE)</t>
        </is>
      </c>
      <c r="R87" t="n">
        <v>32.78</v>
      </c>
      <c r="S87" t="inlineStr">
        <is>
          <t>SuperTrend Stop Loss Exit</t>
        </is>
      </c>
      <c r="T87" t="n">
        <v>0.3492</v>
      </c>
      <c r="U87" t="n">
        <v>0.5013</v>
      </c>
      <c r="V87" t="inlineStr">
        <is>
          <t>2026-02-16</t>
        </is>
      </c>
      <c r="W87" t="inlineStr">
        <is>
          <t>Between R1 and S1</t>
        </is>
      </c>
      <c r="X87" t="n">
        <v>25520.62</v>
      </c>
      <c r="Y87" t="n">
        <v>25586.2</v>
      </c>
      <c r="Z87" t="n">
        <v>25400.15</v>
      </c>
      <c r="AA87" t="n">
        <v>25701.3</v>
      </c>
      <c r="AB87" t="n">
        <v>25329.2</v>
      </c>
      <c r="AC87" t="n">
        <v>25772.25</v>
      </c>
      <c r="AD87" t="n">
        <v>25214.1</v>
      </c>
    </row>
    <row r="88">
      <c r="A88">
        <f>HYPERLINK("../../data_st50/FEB17_DYNAMIC/FEB16/OTM/NIFTY2621725500PE_strategy.csv", "NIFTY2621725500PE")</f>
        <v/>
      </c>
      <c r="B88" t="inlineStr">
        <is>
          <t>PE</t>
        </is>
      </c>
      <c r="C88" t="inlineStr">
        <is>
          <t>11:26:01</t>
        </is>
      </c>
      <c r="D88" t="inlineStr">
        <is>
          <t>11:47:00</t>
        </is>
      </c>
      <c r="E88" t="n">
        <v>62</v>
      </c>
      <c r="F88" t="n">
        <v>73.45</v>
      </c>
      <c r="G88" t="n">
        <v>157465.19</v>
      </c>
      <c r="H88" t="n">
        <v>157465.19</v>
      </c>
      <c r="I88" t="n">
        <v>110225.63</v>
      </c>
      <c r="J88" t="inlineStr">
        <is>
          <t>EXECUTED</t>
        </is>
      </c>
      <c r="K88" t="n">
        <v>20.97</v>
      </c>
      <c r="L88" t="n">
        <v>-8.789999999999999</v>
      </c>
      <c r="M88">
        <f>HYPERLINK("../../data_st50/FEB17_DYNAMIC/FEB16/OTM/NIFTY2621725500PE_strategy.html", "View")</f>
        <v/>
      </c>
      <c r="N88" t="inlineStr"/>
      <c r="O88" t="inlineStr"/>
      <c r="P88" t="inlineStr">
        <is>
          <t>BEARISH</t>
        </is>
      </c>
      <c r="Q88" t="inlineStr">
        <is>
          <t>INCLUDED (HYBRID_NEUTRAL_ZONE)</t>
        </is>
      </c>
      <c r="R88" t="n">
        <v>18.47</v>
      </c>
      <c r="S88" t="inlineStr">
        <is>
          <t>Dynamic Trailing MA (Fast/Slow MA)</t>
        </is>
      </c>
      <c r="T88" t="n">
        <v>0.3792</v>
      </c>
      <c r="U88" t="n">
        <v>0.5548999999999999</v>
      </c>
      <c r="V88" t="inlineStr">
        <is>
          <t>2026-02-16</t>
        </is>
      </c>
      <c r="W88" t="inlineStr">
        <is>
          <t>Between R1 and S1</t>
        </is>
      </c>
      <c r="X88" t="n">
        <v>25527.09</v>
      </c>
      <c r="Y88" t="n">
        <v>25586.2</v>
      </c>
      <c r="Z88" t="n">
        <v>25400.15</v>
      </c>
      <c r="AA88" t="n">
        <v>25701.3</v>
      </c>
      <c r="AB88" t="n">
        <v>25329.2</v>
      </c>
      <c r="AC88" t="n">
        <v>25772.25</v>
      </c>
      <c r="AD88" t="n">
        <v>25214.1</v>
      </c>
    </row>
    <row r="89">
      <c r="A89">
        <f>HYPERLINK("../../data_st50/FEB17_DYNAMIC/FEB16/OTM/NIFTY2621725550CE_strategy.csv", "NIFTY2621725550CE")</f>
        <v/>
      </c>
      <c r="B89" t="inlineStr">
        <is>
          <t>CE</t>
        </is>
      </c>
      <c r="C89" t="inlineStr">
        <is>
          <t>11:04:01</t>
        </is>
      </c>
      <c r="D89" t="inlineStr">
        <is>
          <t>11:29:00</t>
        </is>
      </c>
      <c r="E89" t="n">
        <v>72.95</v>
      </c>
      <c r="F89" t="n">
        <v>74</v>
      </c>
      <c r="G89" t="n">
        <v>132915.66</v>
      </c>
      <c r="H89" t="n">
        <v>143987.74</v>
      </c>
      <c r="I89" t="n">
        <v>100791.42</v>
      </c>
      <c r="J89" t="inlineStr">
        <is>
          <t>EXECUTED</t>
        </is>
      </c>
      <c r="K89" t="n">
        <v>22.82</v>
      </c>
      <c r="L89" t="n">
        <v>-7.33</v>
      </c>
      <c r="M89">
        <f>HYPERLINK("../../data_st50/FEB17_DYNAMIC/FEB16/OTM/NIFTY2621725550CE_strategy.html", "View")</f>
        <v/>
      </c>
      <c r="N89" t="inlineStr"/>
      <c r="O89" t="inlineStr"/>
      <c r="P89" t="inlineStr">
        <is>
          <t>BULLISH</t>
        </is>
      </c>
      <c r="Q89" t="inlineStr">
        <is>
          <t>INCLUDED (HYBRID_NEUTRAL_ZONE)</t>
        </is>
      </c>
      <c r="R89" t="n">
        <v>1.44</v>
      </c>
      <c r="S89" t="inlineStr">
        <is>
          <t>SuperTrend Stop Loss Exit</t>
        </is>
      </c>
      <c r="T89" t="n">
        <v>0.6238</v>
      </c>
      <c r="U89" t="n">
        <v>0.6268</v>
      </c>
      <c r="V89" t="inlineStr">
        <is>
          <t>2026-02-16</t>
        </is>
      </c>
      <c r="W89" t="inlineStr">
        <is>
          <t>Between R1 and S1</t>
        </is>
      </c>
      <c r="X89" t="n">
        <v>25525.72</v>
      </c>
      <c r="Y89" t="n">
        <v>25586.2</v>
      </c>
      <c r="Z89" t="n">
        <v>25400.15</v>
      </c>
      <c r="AA89" t="n">
        <v>25701.3</v>
      </c>
      <c r="AB89" t="n">
        <v>25329.2</v>
      </c>
      <c r="AC89" t="n">
        <v>25772.25</v>
      </c>
      <c r="AD89" t="n">
        <v>25214.1</v>
      </c>
    </row>
    <row r="90">
      <c r="A90">
        <f>HYPERLINK("../../data_st50/FEB17_DYNAMIC/FEB16/OTM/NIFTY2621725500PE_strategy.csv", "NIFTY2621725500PE")</f>
        <v/>
      </c>
      <c r="B90" t="inlineStr">
        <is>
          <t>PE</t>
        </is>
      </c>
      <c r="C90" t="inlineStr">
        <is>
          <t>10:50:01</t>
        </is>
      </c>
      <c r="D90" t="inlineStr">
        <is>
          <t>11:04:00</t>
        </is>
      </c>
      <c r="E90" t="n">
        <v>70.2</v>
      </c>
      <c r="F90" t="n">
        <v>63.88</v>
      </c>
      <c r="G90" t="n">
        <v>131028.85</v>
      </c>
      <c r="H90" t="n">
        <v>143987.74</v>
      </c>
      <c r="I90" t="n">
        <v>100791.42</v>
      </c>
      <c r="J90" t="inlineStr">
        <is>
          <t>EXECUTED</t>
        </is>
      </c>
      <c r="K90" t="n">
        <v>6.55</v>
      </c>
      <c r="L90" t="n">
        <v>-11.11</v>
      </c>
      <c r="M90">
        <f>HYPERLINK("../../data_st50/FEB17_DYNAMIC/FEB16/OTM/NIFTY2621725500PE_strategy.html", "View")</f>
        <v/>
      </c>
      <c r="N90" t="inlineStr"/>
      <c r="O90" t="inlineStr"/>
      <c r="P90" t="inlineStr">
        <is>
          <t>BEARISH</t>
        </is>
      </c>
      <c r="Q90" t="inlineStr">
        <is>
          <t>INCLUDED (HYBRID_NEUTRAL_ZONE)</t>
        </is>
      </c>
      <c r="R90" t="n">
        <v>-9</v>
      </c>
      <c r="S90" t="inlineStr">
        <is>
          <t>Fixed SL Exit</t>
        </is>
      </c>
      <c r="T90" t="n">
        <v>0.6268</v>
      </c>
      <c r="U90" t="inlineStr"/>
      <c r="V90" t="inlineStr">
        <is>
          <t>2026-02-16</t>
        </is>
      </c>
      <c r="W90" t="inlineStr">
        <is>
          <t>Between R1 and S1</t>
        </is>
      </c>
      <c r="X90" t="n">
        <v>25512.88</v>
      </c>
      <c r="Y90" t="n">
        <v>25586.2</v>
      </c>
      <c r="Z90" t="n">
        <v>25400.15</v>
      </c>
      <c r="AA90" t="n">
        <v>25701.3</v>
      </c>
      <c r="AB90" t="n">
        <v>25329.2</v>
      </c>
      <c r="AC90" t="n">
        <v>25772.25</v>
      </c>
      <c r="AD90" t="n">
        <v>25214.1</v>
      </c>
    </row>
    <row r="91">
      <c r="A91">
        <f>HYPERLINK("../../data_st50/FEB17_DYNAMIC/FEB16/OTM/NIFTY2621725450CE_strategy.csv", "NIFTY2621725450CE")</f>
        <v/>
      </c>
      <c r="B91" t="inlineStr">
        <is>
          <t>CE</t>
        </is>
      </c>
      <c r="C91" t="inlineStr">
        <is>
          <t>09:55:01</t>
        </is>
      </c>
      <c r="D91" t="inlineStr">
        <is>
          <t>10:31:00</t>
        </is>
      </c>
      <c r="E91" t="n">
        <v>97.15000000000001</v>
      </c>
      <c r="F91" t="n">
        <v>137.75</v>
      </c>
      <c r="G91" t="n">
        <v>143987.74</v>
      </c>
      <c r="H91" t="n">
        <v>143987.74</v>
      </c>
      <c r="I91" t="n">
        <v>100791.42</v>
      </c>
      <c r="J91" t="inlineStr">
        <is>
          <t>EXECUTED</t>
        </is>
      </c>
      <c r="K91" t="n">
        <v>75.81</v>
      </c>
      <c r="L91" t="n">
        <v>-15.23</v>
      </c>
      <c r="M91">
        <f>HYPERLINK("../../data_st50/FEB17_DYNAMIC/FEB16/OTM/NIFTY2621725450CE_strategy.html", "View")</f>
        <v/>
      </c>
      <c r="N91" t="inlineStr"/>
      <c r="O91" t="inlineStr"/>
      <c r="P91" t="inlineStr">
        <is>
          <t>NEUTRAL</t>
        </is>
      </c>
      <c r="Q91" t="inlineStr">
        <is>
          <t>INCLUDED</t>
        </is>
      </c>
      <c r="R91" t="n">
        <v>41.79</v>
      </c>
      <c r="S91" t="inlineStr">
        <is>
          <t>Dynamic Trailing MA (Fast/Slow MA)</t>
        </is>
      </c>
      <c r="T91" t="n">
        <v>0.4071</v>
      </c>
      <c r="U91" t="n">
        <v>0.5785</v>
      </c>
      <c r="V91" t="inlineStr">
        <is>
          <t>2026-02-16</t>
        </is>
      </c>
      <c r="W91" t="inlineStr">
        <is>
          <t>Between R1 and S1</t>
        </is>
      </c>
      <c r="X91" t="n">
        <v>25470.5</v>
      </c>
      <c r="Y91" t="n">
        <v>25586.2</v>
      </c>
      <c r="Z91" t="n">
        <v>25400.15</v>
      </c>
      <c r="AA91" t="n">
        <v>25701.3</v>
      </c>
      <c r="AB91" t="n">
        <v>25329.2</v>
      </c>
      <c r="AC91" t="n">
        <v>25772.25</v>
      </c>
      <c r="AD91" t="n">
        <v>25214.1</v>
      </c>
    </row>
    <row r="92">
      <c r="A92">
        <f>HYPERLINK("../../data_st50/FEB17_DYNAMIC/FEB16/OTM/NIFTY2621725450CE_strategy.csv", "NIFTY2621725450CE")</f>
        <v/>
      </c>
      <c r="B92" t="inlineStr">
        <is>
          <t>CE</t>
        </is>
      </c>
      <c r="C92" t="inlineStr">
        <is>
          <t>09:19:01</t>
        </is>
      </c>
      <c r="D92" t="inlineStr">
        <is>
          <t>09:43:00</t>
        </is>
      </c>
      <c r="E92" t="n">
        <v>97.90000000000001</v>
      </c>
      <c r="F92" t="n">
        <v>99.42</v>
      </c>
      <c r="G92" t="n">
        <v>101550</v>
      </c>
      <c r="H92" t="n">
        <v>101550</v>
      </c>
      <c r="I92" t="n">
        <v>71085</v>
      </c>
      <c r="J92" t="inlineStr">
        <is>
          <t>EXECUTED</t>
        </is>
      </c>
      <c r="K92" t="n">
        <v>32.79</v>
      </c>
      <c r="L92" t="n">
        <v>-22.93</v>
      </c>
      <c r="M92">
        <f>HYPERLINK("../../data_st50/FEB17_DYNAMIC/FEB16/OTM/NIFTY2621725450CE_strategy.html", "View")</f>
        <v/>
      </c>
      <c r="N92" t="inlineStr"/>
      <c r="O92" t="inlineStr"/>
      <c r="P92" t="inlineStr">
        <is>
          <t>NEUTRAL</t>
        </is>
      </c>
      <c r="Q92" t="inlineStr">
        <is>
          <t>INCLUDED</t>
        </is>
      </c>
      <c r="R92" t="n">
        <v>1.55</v>
      </c>
      <c r="S92" t="inlineStr">
        <is>
          <t>SuperTrend Stop Loss Exit</t>
        </is>
      </c>
      <c r="T92" t="n">
        <v>0.1453</v>
      </c>
      <c r="U92" t="n">
        <v>0.1851</v>
      </c>
      <c r="V92" t="inlineStr">
        <is>
          <t>2026-02-16</t>
        </is>
      </c>
      <c r="W92" t="inlineStr">
        <is>
          <t>Between R1 and S1</t>
        </is>
      </c>
      <c r="X92" t="n">
        <v>25462.86</v>
      </c>
      <c r="Y92" t="n">
        <v>25586.2</v>
      </c>
      <c r="Z92" t="n">
        <v>25400.15</v>
      </c>
      <c r="AA92" t="n">
        <v>25701.3</v>
      </c>
      <c r="AB92" t="n">
        <v>25329.2</v>
      </c>
      <c r="AC92" t="n">
        <v>25772.25</v>
      </c>
      <c r="AD92" t="n">
        <v>25214.1</v>
      </c>
    </row>
    <row r="93">
      <c r="A93">
        <f>HYPERLINK("../../data_st50/FEB24_DYNAMIC/FEB18/OTM/NIFTY26FEB25700PE_strategy.csv", "NIFTY26FEB25700PE")</f>
        <v/>
      </c>
      <c r="B93" t="inlineStr">
        <is>
          <t>PE</t>
        </is>
      </c>
      <c r="C93" t="inlineStr">
        <is>
          <t>13:53:01</t>
        </is>
      </c>
      <c r="D93" t="inlineStr">
        <is>
          <t>14:05:00</t>
        </is>
      </c>
      <c r="E93" t="n">
        <v>105</v>
      </c>
      <c r="F93" t="n">
        <v>104.94</v>
      </c>
      <c r="G93" t="n">
        <v>99679.64</v>
      </c>
      <c r="H93" t="n">
        <v>128690</v>
      </c>
      <c r="I93" t="n">
        <v>90083</v>
      </c>
      <c r="J93" t="inlineStr">
        <is>
          <t>EXECUTED</t>
        </is>
      </c>
      <c r="K93" t="n">
        <v>11.81</v>
      </c>
      <c r="L93" t="n">
        <v>-5.95</v>
      </c>
      <c r="M93">
        <f>HYPERLINK("../../data_st50/FEB24_DYNAMIC/FEB18/OTM/NIFTY26FEB25700PE_strategy.html", "View")</f>
        <v/>
      </c>
      <c r="N93" t="inlineStr"/>
      <c r="O93" t="inlineStr"/>
      <c r="P93" t="inlineStr">
        <is>
          <t>BEARISH</t>
        </is>
      </c>
      <c r="Q93" t="inlineStr">
        <is>
          <t>INCLUDED (HYBRID_NEUTRAL_ZONE)</t>
        </is>
      </c>
      <c r="R93" t="n">
        <v>-0.06</v>
      </c>
      <c r="S93" t="inlineStr">
        <is>
          <t>SuperTrend Stop Loss Exit</t>
        </is>
      </c>
      <c r="T93" t="n">
        <v>0.5442</v>
      </c>
      <c r="U93" t="n">
        <v>0.5969</v>
      </c>
      <c r="V93" t="inlineStr">
        <is>
          <t>2026-02-18</t>
        </is>
      </c>
      <c r="W93" t="inlineStr">
        <is>
          <t>Between R1 and S1</t>
        </is>
      </c>
      <c r="X93" t="n">
        <v>25717.9</v>
      </c>
      <c r="Y93" t="n">
        <v>25803.1</v>
      </c>
      <c r="Z93" t="n">
        <v>25609</v>
      </c>
      <c r="AA93" t="n">
        <v>25880.8</v>
      </c>
      <c r="AB93" t="n">
        <v>25492.6</v>
      </c>
      <c r="AC93" t="n">
        <v>25997.2</v>
      </c>
      <c r="AD93" t="n">
        <v>25414.9</v>
      </c>
    </row>
    <row r="94">
      <c r="A94">
        <f>HYPERLINK("../../data_st50/FEB24_DYNAMIC/FEB18/OTM/NIFTY26FEB25700PE_strategy.csv", "NIFTY26FEB25700PE")</f>
        <v/>
      </c>
      <c r="B94" t="inlineStr">
        <is>
          <t>PE</t>
        </is>
      </c>
      <c r="C94" t="inlineStr">
        <is>
          <t>13:04:01</t>
        </is>
      </c>
      <c r="D94" t="inlineStr">
        <is>
          <t>13:15:00</t>
        </is>
      </c>
      <c r="E94" t="n">
        <v>108.2</v>
      </c>
      <c r="F94" t="n">
        <v>101.55</v>
      </c>
      <c r="G94" t="n">
        <v>99739.48</v>
      </c>
      <c r="H94" t="n">
        <v>128690</v>
      </c>
      <c r="I94" t="n">
        <v>90083</v>
      </c>
      <c r="J94" t="inlineStr">
        <is>
          <t>EXECUTED</t>
        </is>
      </c>
      <c r="K94" t="n">
        <v>3.14</v>
      </c>
      <c r="L94" t="n">
        <v>-8.27</v>
      </c>
      <c r="M94">
        <f>HYPERLINK("../../data_st50/FEB24_DYNAMIC/FEB18/OTM/NIFTY26FEB25700PE_strategy.html", "View")</f>
        <v/>
      </c>
      <c r="N94" t="inlineStr"/>
      <c r="O94" t="inlineStr"/>
      <c r="P94" t="inlineStr">
        <is>
          <t>BEARISH</t>
        </is>
      </c>
      <c r="Q94" t="inlineStr">
        <is>
          <t>INCLUDED (HYBRID_NEUTRAL_ZONE)</t>
        </is>
      </c>
      <c r="R94" t="n">
        <v>-6.15</v>
      </c>
      <c r="S94" t="inlineStr">
        <is>
          <t>SuperTrend Stop Loss Exit</t>
        </is>
      </c>
      <c r="T94" t="n">
        <v>0.3441</v>
      </c>
      <c r="U94" t="inlineStr"/>
      <c r="V94" t="inlineStr">
        <is>
          <t>2026-02-18</t>
        </is>
      </c>
      <c r="W94" t="inlineStr">
        <is>
          <t>Between R1 and S1</t>
        </is>
      </c>
      <c r="X94" t="n">
        <v>25732.09</v>
      </c>
      <c r="Y94" t="n">
        <v>25803.1</v>
      </c>
      <c r="Z94" t="n">
        <v>25609</v>
      </c>
      <c r="AA94" t="n">
        <v>25880.8</v>
      </c>
      <c r="AB94" t="n">
        <v>25492.6</v>
      </c>
      <c r="AC94" t="n">
        <v>25997.2</v>
      </c>
      <c r="AD94" t="n">
        <v>25414.9</v>
      </c>
    </row>
    <row r="95">
      <c r="A95">
        <f>HYPERLINK("../../data_st50/FEB24_DYNAMIC/FEB18/OTM/NIFTY26FEB25700PE_strategy.csv", "NIFTY26FEB25700PE")</f>
        <v/>
      </c>
      <c r="B95" t="inlineStr">
        <is>
          <t>PE</t>
        </is>
      </c>
      <c r="C95" t="inlineStr">
        <is>
          <t>12:41:01</t>
        </is>
      </c>
      <c r="D95" t="inlineStr">
        <is>
          <t>13:01:00</t>
        </is>
      </c>
      <c r="E95" t="n">
        <v>111.15</v>
      </c>
      <c r="F95" t="n">
        <v>100.87</v>
      </c>
      <c r="G95" t="n">
        <v>106275.42</v>
      </c>
      <c r="H95" t="n">
        <v>128690</v>
      </c>
      <c r="I95" t="n">
        <v>90083</v>
      </c>
      <c r="J95" t="inlineStr">
        <is>
          <t>EXECUTED</t>
        </is>
      </c>
      <c r="K95" t="n">
        <v>3.46</v>
      </c>
      <c r="L95" t="n">
        <v>-4.45</v>
      </c>
      <c r="M95">
        <f>HYPERLINK("../../data_st50/FEB24_DYNAMIC/FEB18/OTM/NIFTY26FEB25700PE_strategy.html", "View")</f>
        <v/>
      </c>
      <c r="N95" t="inlineStr"/>
      <c r="O95" t="inlineStr"/>
      <c r="P95" t="inlineStr">
        <is>
          <t>BEARISH</t>
        </is>
      </c>
      <c r="Q95" t="inlineStr">
        <is>
          <t>INCLUDED (HYBRID_NEUTRAL_ZONE)</t>
        </is>
      </c>
      <c r="R95" t="n">
        <v>-9.25</v>
      </c>
      <c r="S95" t="inlineStr">
        <is>
          <t>Fixed Stop Loss</t>
        </is>
      </c>
      <c r="T95" t="n">
        <v>0.3779</v>
      </c>
      <c r="U95" t="inlineStr"/>
      <c r="V95" t="inlineStr">
        <is>
          <t>2026-02-18</t>
        </is>
      </c>
      <c r="W95" t="inlineStr">
        <is>
          <t>Between R1 and S1</t>
        </is>
      </c>
      <c r="X95" t="n">
        <v>25721.86</v>
      </c>
      <c r="Y95" t="n">
        <v>25803.1</v>
      </c>
      <c r="Z95" t="n">
        <v>25609</v>
      </c>
      <c r="AA95" t="n">
        <v>25880.8</v>
      </c>
      <c r="AB95" t="n">
        <v>25492.6</v>
      </c>
      <c r="AC95" t="n">
        <v>25997.2</v>
      </c>
      <c r="AD95" t="n">
        <v>25414.9</v>
      </c>
    </row>
    <row r="96">
      <c r="A96">
        <f>HYPERLINK("../../data_st50/FEB24_DYNAMIC/FEB18/OTM/NIFTY26FEB25700PE_strategy.csv", "NIFTY26FEB25700PE")</f>
        <v/>
      </c>
      <c r="B96" t="inlineStr">
        <is>
          <t>PE</t>
        </is>
      </c>
      <c r="C96" t="inlineStr">
        <is>
          <t>12:20:01</t>
        </is>
      </c>
      <c r="D96" t="inlineStr">
        <is>
          <t>12:39:00</t>
        </is>
      </c>
      <c r="E96" t="n">
        <v>117.2</v>
      </c>
      <c r="F96" t="n">
        <v>106.65</v>
      </c>
      <c r="G96" t="n">
        <v>117107.9</v>
      </c>
      <c r="H96" t="n">
        <v>128690</v>
      </c>
      <c r="I96" t="n">
        <v>90083</v>
      </c>
      <c r="J96" t="inlineStr">
        <is>
          <t>EXECUTED</t>
        </is>
      </c>
      <c r="K96" t="n">
        <v>1.96</v>
      </c>
      <c r="L96" t="n">
        <v>-5.29</v>
      </c>
      <c r="M96">
        <f>HYPERLINK("../../data_st50/FEB24_DYNAMIC/FEB18/OTM/NIFTY26FEB25700PE_strategy.html", "View")</f>
        <v/>
      </c>
      <c r="N96" t="inlineStr"/>
      <c r="O96" t="inlineStr"/>
      <c r="P96" t="inlineStr">
        <is>
          <t>BULLISH</t>
        </is>
      </c>
      <c r="Q96" t="inlineStr">
        <is>
          <t>INCLUDED (HYBRID_NEUTRAL_ZONE)</t>
        </is>
      </c>
      <c r="R96" t="n">
        <v>-9</v>
      </c>
      <c r="S96" t="inlineStr">
        <is>
          <t>Fixed Stop Loss</t>
        </is>
      </c>
      <c r="T96" t="n">
        <v>0.4771</v>
      </c>
      <c r="U96" t="inlineStr"/>
      <c r="V96" t="inlineStr">
        <is>
          <t>2026-02-18</t>
        </is>
      </c>
      <c r="W96" t="inlineStr">
        <is>
          <t>Between R1 and S1</t>
        </is>
      </c>
      <c r="X96" t="n">
        <v>25713.88</v>
      </c>
      <c r="Y96" t="n">
        <v>25803.1</v>
      </c>
      <c r="Z96" t="n">
        <v>25609</v>
      </c>
      <c r="AA96" t="n">
        <v>25880.8</v>
      </c>
      <c r="AB96" t="n">
        <v>25492.6</v>
      </c>
      <c r="AC96" t="n">
        <v>25997.2</v>
      </c>
      <c r="AD96" t="n">
        <v>25414.9</v>
      </c>
    </row>
    <row r="97">
      <c r="A97">
        <f>HYPERLINK("../../data_st50/FEB24_DYNAMIC/FEB18/OTM/NIFTY26FEB25700PE_strategy.csv", "NIFTY26FEB25700PE")</f>
        <v/>
      </c>
      <c r="B97" t="inlineStr">
        <is>
          <t>PE</t>
        </is>
      </c>
      <c r="C97" t="inlineStr">
        <is>
          <t>09:47:01</t>
        </is>
      </c>
      <c r="D97" t="inlineStr">
        <is>
          <t>10:12:00</t>
        </is>
      </c>
      <c r="E97" t="n">
        <v>113.1</v>
      </c>
      <c r="F97" t="n">
        <v>145.55</v>
      </c>
      <c r="G97" t="n">
        <v>128690</v>
      </c>
      <c r="H97" t="n">
        <v>128690</v>
      </c>
      <c r="I97" t="n">
        <v>90083</v>
      </c>
      <c r="J97" t="inlineStr">
        <is>
          <t>EXECUTED</t>
        </is>
      </c>
      <c r="K97" t="n">
        <v>40.85</v>
      </c>
      <c r="L97" t="n">
        <v>-7.82</v>
      </c>
      <c r="M97">
        <f>HYPERLINK("../../data_st50/FEB24_DYNAMIC/FEB18/OTM/NIFTY26FEB25700PE_strategy.html", "View")</f>
        <v/>
      </c>
      <c r="N97" t="inlineStr"/>
      <c r="O97" t="inlineStr"/>
      <c r="P97" t="inlineStr">
        <is>
          <t>BEARISH</t>
        </is>
      </c>
      <c r="Q97" t="inlineStr">
        <is>
          <t>INCLUDED (HYBRID_NEUTRAL_ZONE)</t>
        </is>
      </c>
      <c r="R97" t="n">
        <v>28.69</v>
      </c>
      <c r="S97" t="inlineStr">
        <is>
          <t>Dynamic Trailing MA (Fast/Slow MA)</t>
        </is>
      </c>
      <c r="T97" t="n">
        <v>0.5542</v>
      </c>
      <c r="U97" t="n">
        <v>0.8244</v>
      </c>
      <c r="V97" t="inlineStr">
        <is>
          <t>2026-02-18</t>
        </is>
      </c>
      <c r="W97" t="inlineStr">
        <is>
          <t>Between R1 and S1</t>
        </is>
      </c>
      <c r="X97" t="n">
        <v>25724.3</v>
      </c>
      <c r="Y97" t="n">
        <v>25803.1</v>
      </c>
      <c r="Z97" t="n">
        <v>25609</v>
      </c>
      <c r="AA97" t="n">
        <v>25880.8</v>
      </c>
      <c r="AB97" t="n">
        <v>25492.6</v>
      </c>
      <c r="AC97" t="n">
        <v>25997.2</v>
      </c>
      <c r="AD97" t="n">
        <v>25414.9</v>
      </c>
    </row>
    <row r="98">
      <c r="A98">
        <f>HYPERLINK("../../data_st50/FEB24_DYNAMIC/FEB19/OTM/NIFTY26FEB25800CE_strategy.csv", "NIFTY26FEB25800CE")</f>
        <v/>
      </c>
      <c r="B98" t="inlineStr">
        <is>
          <t>CE</t>
        </is>
      </c>
      <c r="C98" t="inlineStr">
        <is>
          <t>10:23:01</t>
        </is>
      </c>
      <c r="D98" t="inlineStr">
        <is>
          <t>10:37:00</t>
        </is>
      </c>
      <c r="E98" t="n">
        <v>105.8</v>
      </c>
      <c r="F98" t="n">
        <v>96.28</v>
      </c>
      <c r="G98" t="n">
        <v>96937.39</v>
      </c>
      <c r="H98" t="n">
        <v>117060</v>
      </c>
      <c r="I98" t="n">
        <v>81942</v>
      </c>
      <c r="J98" t="inlineStr">
        <is>
          <t>EXECUTED</t>
        </is>
      </c>
      <c r="K98" t="n">
        <v>3.4</v>
      </c>
      <c r="L98" t="n">
        <v>-3.88</v>
      </c>
      <c r="M98">
        <f>HYPERLINK("../../data_st50/FEB24_DYNAMIC/FEB19/OTM/NIFTY26FEB25800CE_strategy.html", "View")</f>
        <v/>
      </c>
      <c r="N98" t="inlineStr"/>
      <c r="O98" t="inlineStr"/>
      <c r="P98" t="inlineStr">
        <is>
          <t>BEARISH</t>
        </is>
      </c>
      <c r="Q98" t="inlineStr">
        <is>
          <t>INCLUDED (HYBRID_NEUTRAL_ZONE)</t>
        </is>
      </c>
      <c r="R98" t="n">
        <v>-9</v>
      </c>
      <c r="S98" t="inlineStr">
        <is>
          <t>Fixed Stop Loss</t>
        </is>
      </c>
      <c r="T98" t="n">
        <v>0.2826</v>
      </c>
      <c r="U98" t="inlineStr"/>
      <c r="V98" t="inlineStr">
        <is>
          <t>2026-02-19</t>
        </is>
      </c>
      <c r="W98" t="inlineStr">
        <is>
          <t>Between R1 and S1</t>
        </is>
      </c>
      <c r="X98" t="n">
        <v>25756.18</v>
      </c>
      <c r="Y98" t="n">
        <v>25883.22</v>
      </c>
      <c r="Z98" t="n">
        <v>25700.32</v>
      </c>
      <c r="AA98" t="n">
        <v>25947.08</v>
      </c>
      <c r="AB98" t="n">
        <v>25581.28</v>
      </c>
      <c r="AC98" t="n">
        <v>26066.12</v>
      </c>
      <c r="AD98" t="n">
        <v>25517.42</v>
      </c>
    </row>
    <row r="99">
      <c r="A99">
        <f>HYPERLINK("../../data_st50/FEB24_DYNAMIC/FEB19/OTM/NIFTY26FEB25800CE_strategy.csv", "NIFTY26FEB25800CE")</f>
        <v/>
      </c>
      <c r="B99" t="inlineStr">
        <is>
          <t>CE</t>
        </is>
      </c>
      <c r="C99" t="inlineStr">
        <is>
          <t>10:04:01</t>
        </is>
      </c>
      <c r="D99" t="inlineStr">
        <is>
          <t>10:14:00</t>
        </is>
      </c>
      <c r="E99" t="n">
        <v>115.05</v>
      </c>
      <c r="F99" t="n">
        <v>104.7</v>
      </c>
      <c r="G99" t="n">
        <v>106524.6</v>
      </c>
      <c r="H99" t="n">
        <v>117060</v>
      </c>
      <c r="I99" t="n">
        <v>81942</v>
      </c>
      <c r="J99" t="inlineStr">
        <is>
          <t>EXECUTED</t>
        </is>
      </c>
      <c r="K99" t="n">
        <v>3.35</v>
      </c>
      <c r="L99" t="n">
        <v>-5.65</v>
      </c>
      <c r="M99">
        <f>HYPERLINK("../../data_st50/FEB24_DYNAMIC/FEB19/OTM/NIFTY26FEB25800CE_strategy.html", "View")</f>
        <v/>
      </c>
      <c r="N99" t="inlineStr"/>
      <c r="O99" t="inlineStr"/>
      <c r="P99" t="inlineStr">
        <is>
          <t>NEUTRAL</t>
        </is>
      </c>
      <c r="Q99" t="inlineStr">
        <is>
          <t>INCLUDED</t>
        </is>
      </c>
      <c r="R99" t="n">
        <v>-9</v>
      </c>
      <c r="S99" t="inlineStr">
        <is>
          <t>Fixed Stop Loss</t>
        </is>
      </c>
      <c r="T99" t="n">
        <v>0.3237</v>
      </c>
      <c r="U99" t="inlineStr"/>
      <c r="V99" t="inlineStr">
        <is>
          <t>2026-02-19</t>
        </is>
      </c>
      <c r="W99" t="inlineStr">
        <is>
          <t>Between R1 and S1</t>
        </is>
      </c>
      <c r="X99" t="n">
        <v>25782.11</v>
      </c>
      <c r="Y99" t="n">
        <v>25883.22</v>
      </c>
      <c r="Z99" t="n">
        <v>25700.32</v>
      </c>
      <c r="AA99" t="n">
        <v>25947.08</v>
      </c>
      <c r="AB99" t="n">
        <v>25581.28</v>
      </c>
      <c r="AC99" t="n">
        <v>26066.12</v>
      </c>
      <c r="AD99" t="n">
        <v>25517.42</v>
      </c>
    </row>
    <row r="100">
      <c r="A100">
        <f>HYPERLINK("../../data_st50/FEB24_DYNAMIC/FEB19/OTM/NIFTY26FEB25850PE_strategy.csv", "NIFTY26FEB25850PE")</f>
        <v/>
      </c>
      <c r="B100" t="inlineStr">
        <is>
          <t>PE</t>
        </is>
      </c>
      <c r="C100" t="inlineStr">
        <is>
          <t>09:25:01</t>
        </is>
      </c>
      <c r="D100" t="inlineStr">
        <is>
          <t>09:49:00</t>
        </is>
      </c>
      <c r="E100" t="n">
        <v>112.5</v>
      </c>
      <c r="F100" t="n">
        <v>131.69</v>
      </c>
      <c r="G100" t="n">
        <v>117060</v>
      </c>
      <c r="H100" t="n">
        <v>117060</v>
      </c>
      <c r="I100" t="n">
        <v>81942</v>
      </c>
      <c r="J100" t="inlineStr">
        <is>
          <t>EXECUTED</t>
        </is>
      </c>
      <c r="K100" t="n">
        <v>37.6</v>
      </c>
      <c r="L100" t="n">
        <v>-11.11</v>
      </c>
      <c r="M100">
        <f>HYPERLINK("../../data_st50/FEB24_DYNAMIC/FEB19/OTM/NIFTY26FEB25850PE_strategy.html", "View")</f>
        <v/>
      </c>
      <c r="N100" t="inlineStr"/>
      <c r="O100" t="inlineStr"/>
      <c r="P100" t="inlineStr">
        <is>
          <t>BEARISH</t>
        </is>
      </c>
      <c r="Q100" t="inlineStr">
        <is>
          <t>INCLUDED (HYBRID_NEUTRAL_ZONE)</t>
        </is>
      </c>
      <c r="R100" t="n">
        <v>17.06</v>
      </c>
      <c r="S100" t="inlineStr">
        <is>
          <t>SuperTrend Stop Loss Exit</t>
        </is>
      </c>
      <c r="T100" t="n">
        <v>0.2559</v>
      </c>
      <c r="U100" t="n">
        <v>0.303</v>
      </c>
      <c r="V100" t="inlineStr">
        <is>
          <t>2026-02-19</t>
        </is>
      </c>
      <c r="W100" t="inlineStr">
        <is>
          <t>Between R1 and S1</t>
        </is>
      </c>
      <c r="X100" t="n">
        <v>25846.18</v>
      </c>
      <c r="Y100" t="n">
        <v>25883.22</v>
      </c>
      <c r="Z100" t="n">
        <v>25700.32</v>
      </c>
      <c r="AA100" t="n">
        <v>25947.08</v>
      </c>
      <c r="AB100" t="n">
        <v>25581.28</v>
      </c>
      <c r="AC100" t="n">
        <v>26066.12</v>
      </c>
      <c r="AD100" t="n">
        <v>25517.42</v>
      </c>
    </row>
    <row r="101">
      <c r="A101">
        <f>HYPERLINK("../../data_st50/FEB24_DYNAMIC/FEB20/OTM/NIFTY26FEB25600PE_strategy.csv", "NIFTY26FEB25600PE")</f>
        <v/>
      </c>
      <c r="B101" t="inlineStr">
        <is>
          <t>PE</t>
        </is>
      </c>
      <c r="C101" t="inlineStr">
        <is>
          <t>11:48:01</t>
        </is>
      </c>
      <c r="D101" t="inlineStr">
        <is>
          <t>11:58:00</t>
        </is>
      </c>
      <c r="E101" t="n">
        <v>120</v>
      </c>
      <c r="F101" t="n">
        <v>116.87</v>
      </c>
      <c r="G101" t="n">
        <v>91232.82000000001</v>
      </c>
      <c r="H101" t="n">
        <v>101990</v>
      </c>
      <c r="I101" t="n">
        <v>71393</v>
      </c>
      <c r="J101" t="inlineStr">
        <is>
          <t>EXECUTED</t>
        </is>
      </c>
      <c r="K101" t="n">
        <v>11.62</v>
      </c>
      <c r="L101" t="n">
        <v>-6.67</v>
      </c>
      <c r="M101">
        <f>HYPERLINK("../../data_st50/FEB24_DYNAMIC/FEB20/OTM/NIFTY26FEB25600PE_strategy.html", "View")</f>
        <v/>
      </c>
      <c r="N101" t="inlineStr"/>
      <c r="O101" t="inlineStr"/>
      <c r="P101" t="inlineStr">
        <is>
          <t>BULLISH</t>
        </is>
      </c>
      <c r="Q101" t="inlineStr">
        <is>
          <t>INCLUDED (HYBRID_NEUTRAL_ZONE)</t>
        </is>
      </c>
      <c r="R101" t="n">
        <v>-2.61</v>
      </c>
      <c r="S101" t="inlineStr">
        <is>
          <t>SuperTrend Stop Loss Exit</t>
        </is>
      </c>
      <c r="T101" t="n">
        <v>0.3793</v>
      </c>
      <c r="U101" t="n">
        <v>0.4308</v>
      </c>
      <c r="V101" t="inlineStr">
        <is>
          <t>2026-02-20</t>
        </is>
      </c>
      <c r="W101" t="inlineStr">
        <is>
          <t>Between R1 and S1</t>
        </is>
      </c>
      <c r="X101" t="n">
        <v>25600.01</v>
      </c>
      <c r="Y101" t="n">
        <v>25763.52</v>
      </c>
      <c r="Z101" t="n">
        <v>25266.97</v>
      </c>
      <c r="AA101" t="n">
        <v>26072.68</v>
      </c>
      <c r="AB101" t="n">
        <v>25079.58</v>
      </c>
      <c r="AC101" t="n">
        <v>26260.07</v>
      </c>
      <c r="AD101" t="n">
        <v>24770.42</v>
      </c>
    </row>
    <row r="102">
      <c r="A102">
        <f>HYPERLINK("../../data_st50/FEB24_DYNAMIC/FEB20/OTM/NIFTY26FEB25550PE_strategy.csv", "NIFTY26FEB25550PE")</f>
        <v/>
      </c>
      <c r="B102" t="inlineStr">
        <is>
          <t>PE</t>
        </is>
      </c>
      <c r="C102" t="inlineStr">
        <is>
          <t>11:03:01</t>
        </is>
      </c>
      <c r="D102" t="inlineStr">
        <is>
          <t>11:28:00</t>
        </is>
      </c>
      <c r="E102" t="n">
        <v>116.5</v>
      </c>
      <c r="F102" t="n">
        <v>107.01</v>
      </c>
      <c r="G102" t="n">
        <v>93677.82000000001</v>
      </c>
      <c r="H102" t="n">
        <v>101990</v>
      </c>
      <c r="I102" t="n">
        <v>71393</v>
      </c>
      <c r="J102" t="inlineStr">
        <is>
          <t>EXECUTED</t>
        </is>
      </c>
      <c r="K102" t="n">
        <v>5.58</v>
      </c>
      <c r="L102" t="n">
        <v>-7.08</v>
      </c>
      <c r="M102">
        <f>HYPERLINK("../../data_st50/FEB24_DYNAMIC/FEB20/OTM/NIFTY26FEB25550PE_strategy.html", "View")</f>
        <v/>
      </c>
      <c r="N102" t="inlineStr"/>
      <c r="O102" t="inlineStr"/>
      <c r="P102" t="inlineStr">
        <is>
          <t>NEUTRAL</t>
        </is>
      </c>
      <c r="Q102" t="inlineStr">
        <is>
          <t>INCLUDED</t>
        </is>
      </c>
      <c r="R102" t="n">
        <v>-8.15</v>
      </c>
      <c r="S102" t="inlineStr">
        <is>
          <t>SuperTrend Stop Loss Exit</t>
        </is>
      </c>
      <c r="T102" t="n">
        <v>0.6076</v>
      </c>
      <c r="U102" t="inlineStr"/>
      <c r="V102" t="inlineStr">
        <is>
          <t>2026-02-20</t>
        </is>
      </c>
      <c r="W102" t="inlineStr">
        <is>
          <t>Between R1 and S1</t>
        </is>
      </c>
      <c r="X102" t="n">
        <v>25573.47</v>
      </c>
      <c r="Y102" t="n">
        <v>25763.52</v>
      </c>
      <c r="Z102" t="n">
        <v>25266.97</v>
      </c>
      <c r="AA102" t="n">
        <v>26072.68</v>
      </c>
      <c r="AB102" t="n">
        <v>25079.58</v>
      </c>
      <c r="AC102" t="n">
        <v>26260.07</v>
      </c>
      <c r="AD102" t="n">
        <v>24770.42</v>
      </c>
    </row>
    <row r="103">
      <c r="A103">
        <f>HYPERLINK("../../data_st50/FEB24_DYNAMIC/FEB20/OTM/NIFTY26FEB25500PE_strategy.csv", "NIFTY26FEB25500PE")</f>
        <v/>
      </c>
      <c r="B103" t="inlineStr">
        <is>
          <t>PE</t>
        </is>
      </c>
      <c r="C103" t="inlineStr">
        <is>
          <t>10:02:01</t>
        </is>
      </c>
      <c r="D103" t="inlineStr">
        <is>
          <t>10:16:00</t>
        </is>
      </c>
      <c r="E103" t="n">
        <v>119.35</v>
      </c>
      <c r="F103" t="n">
        <v>121.72</v>
      </c>
      <c r="G103" t="n">
        <v>101990</v>
      </c>
      <c r="H103" t="n">
        <v>101990</v>
      </c>
      <c r="I103" t="n">
        <v>71393</v>
      </c>
      <c r="J103" t="inlineStr">
        <is>
          <t>EXECUTED</t>
        </is>
      </c>
      <c r="K103" t="n">
        <v>21.49</v>
      </c>
      <c r="L103" t="n">
        <v>-7.42</v>
      </c>
      <c r="M103">
        <f>HYPERLINK("../../data_st50/FEB24_DYNAMIC/FEB20/OTM/NIFTY26FEB25500PE_strategy.html", "View")</f>
        <v/>
      </c>
      <c r="N103" t="inlineStr"/>
      <c r="O103" t="inlineStr"/>
      <c r="P103" t="inlineStr">
        <is>
          <t>BEARISH</t>
        </is>
      </c>
      <c r="Q103" t="inlineStr">
        <is>
          <t>INCLUDED (HYBRID_NEUTRAL_ZONE)</t>
        </is>
      </c>
      <c r="R103" t="n">
        <v>1.99</v>
      </c>
      <c r="S103" t="inlineStr">
        <is>
          <t>SuperTrend Stop Loss Exit</t>
        </is>
      </c>
      <c r="T103" t="n">
        <v>0.4756</v>
      </c>
      <c r="U103" t="n">
        <v>0.6168</v>
      </c>
      <c r="V103" t="inlineStr">
        <is>
          <t>2026-02-20</t>
        </is>
      </c>
      <c r="W103" t="inlineStr">
        <is>
          <t>Between R1 and S1</t>
        </is>
      </c>
      <c r="X103" t="n">
        <v>25507.81</v>
      </c>
      <c r="Y103" t="n">
        <v>25763.52</v>
      </c>
      <c r="Z103" t="n">
        <v>25266.97</v>
      </c>
      <c r="AA103" t="n">
        <v>26072.68</v>
      </c>
      <c r="AB103" t="n">
        <v>25079.58</v>
      </c>
      <c r="AC103" t="n">
        <v>26260.07</v>
      </c>
      <c r="AD103" t="n">
        <v>24770.42</v>
      </c>
    </row>
    <row r="104">
      <c r="A104">
        <f>HYPERLINK("../../data_st50/FEB24_DYNAMIC/FEB23/OTM/NIFTY26FEB25650PE_strategy.csv", "NIFTY26FEB25650PE")</f>
        <v/>
      </c>
      <c r="B104" t="inlineStr">
        <is>
          <t>PE</t>
        </is>
      </c>
      <c r="C104" t="inlineStr">
        <is>
          <t>13:33:01</t>
        </is>
      </c>
      <c r="D104" t="inlineStr">
        <is>
          <t>13:43:00</t>
        </is>
      </c>
      <c r="E104" t="n">
        <v>88.2</v>
      </c>
      <c r="F104" t="n">
        <v>80.26000000000001</v>
      </c>
      <c r="G104" t="n">
        <v>98248.32000000001</v>
      </c>
      <c r="H104" t="n">
        <v>111626.53</v>
      </c>
      <c r="I104" t="n">
        <v>78138.57000000001</v>
      </c>
      <c r="J104" t="inlineStr">
        <is>
          <t>EXECUTED</t>
        </is>
      </c>
      <c r="K104" t="n">
        <v>7.94</v>
      </c>
      <c r="L104" t="n">
        <v>-9.58</v>
      </c>
      <c r="M104">
        <f>HYPERLINK("../../data_st50/FEB24_DYNAMIC/FEB23/OTM/NIFTY26FEB25650PE_strategy.html", "View")</f>
        <v/>
      </c>
      <c r="N104" t="inlineStr"/>
      <c r="O104" t="inlineStr"/>
      <c r="P104" t="inlineStr">
        <is>
          <t>BEARISH</t>
        </is>
      </c>
      <c r="Q104" t="inlineStr">
        <is>
          <t>INCLUDED (HYBRID_NEUTRAL_ZONE)</t>
        </is>
      </c>
      <c r="R104" t="n">
        <v>-9</v>
      </c>
      <c r="S104" t="inlineStr">
        <is>
          <t>Fixed Stop Loss</t>
        </is>
      </c>
      <c r="T104" t="n">
        <v>0.442</v>
      </c>
      <c r="U104" t="n">
        <v>0.4561</v>
      </c>
      <c r="V104" t="inlineStr">
        <is>
          <t>2026-02-23</t>
        </is>
      </c>
      <c r="W104" t="inlineStr">
        <is>
          <t>Between R1 and S1</t>
        </is>
      </c>
      <c r="X104" t="n">
        <v>25656.31</v>
      </c>
      <c r="Y104" t="n">
        <v>25696.62</v>
      </c>
      <c r="Z104" t="n">
        <v>25412.82</v>
      </c>
      <c r="AA104" t="n">
        <v>25821.98</v>
      </c>
      <c r="AB104" t="n">
        <v>25254.38</v>
      </c>
      <c r="AC104" t="n">
        <v>25980.42</v>
      </c>
      <c r="AD104" t="n">
        <v>25129.02</v>
      </c>
    </row>
    <row r="105">
      <c r="A105">
        <f>HYPERLINK("../../data_st50/FEB24_DYNAMIC/FEB23/OTM/NIFTY26FEB25650CE_strategy.csv", "NIFTY26FEB25650CE")</f>
        <v/>
      </c>
      <c r="B105" t="inlineStr">
        <is>
          <t>CE</t>
        </is>
      </c>
      <c r="C105" t="inlineStr">
        <is>
          <t>13:18:01</t>
        </is>
      </c>
      <c r="D105" t="inlineStr">
        <is>
          <t>13:40:00</t>
        </is>
      </c>
      <c r="E105" t="n">
        <v>90</v>
      </c>
      <c r="F105" t="n">
        <v>87.05</v>
      </c>
      <c r="G105" t="n">
        <v>107965.18</v>
      </c>
      <c r="H105" t="n">
        <v>111626.53</v>
      </c>
      <c r="I105" t="n">
        <v>78138.57000000001</v>
      </c>
      <c r="J105" t="inlineStr">
        <is>
          <t>EXECUTED</t>
        </is>
      </c>
      <c r="K105" t="n">
        <v>16.39</v>
      </c>
      <c r="L105" t="n">
        <v>-10.67</v>
      </c>
      <c r="M105">
        <f>HYPERLINK("../../data_st50/FEB24_DYNAMIC/FEB23/OTM/NIFTY26FEB25650CE_strategy.html", "View")</f>
        <v/>
      </c>
      <c r="N105" t="inlineStr"/>
      <c r="O105" t="inlineStr"/>
      <c r="P105" t="inlineStr">
        <is>
          <t>BULLISH</t>
        </is>
      </c>
      <c r="Q105" t="inlineStr">
        <is>
          <t>INCLUDED (HYBRID_NEUTRAL_ZONE)</t>
        </is>
      </c>
      <c r="R105" t="n">
        <v>-3.28</v>
      </c>
      <c r="S105" t="inlineStr">
        <is>
          <t>SuperTrend Stop Loss Exit</t>
        </is>
      </c>
      <c r="T105" t="n">
        <v>0.5841</v>
      </c>
      <c r="U105" t="n">
        <v>0.6872</v>
      </c>
      <c r="V105" t="inlineStr">
        <is>
          <t>2026-02-23</t>
        </is>
      </c>
      <c r="W105" t="inlineStr">
        <is>
          <t>Between R1 and S1</t>
        </is>
      </c>
      <c r="X105" t="n">
        <v>25646.01</v>
      </c>
      <c r="Y105" t="n">
        <v>25696.62</v>
      </c>
      <c r="Z105" t="n">
        <v>25412.82</v>
      </c>
      <c r="AA105" t="n">
        <v>25821.98</v>
      </c>
      <c r="AB105" t="n">
        <v>25254.38</v>
      </c>
      <c r="AC105" t="n">
        <v>25980.42</v>
      </c>
      <c r="AD105" t="n">
        <v>25129.02</v>
      </c>
    </row>
    <row r="106">
      <c r="A106">
        <f>HYPERLINK("../../data_st50/FEB24_DYNAMIC/FEB23/OTM/NIFTY26FEB25650PE_strategy.csv", "NIFTY26FEB25650PE")</f>
        <v/>
      </c>
      <c r="B106" t="inlineStr">
        <is>
          <t>PE</t>
        </is>
      </c>
      <c r="C106" t="inlineStr">
        <is>
          <t>12:48:01</t>
        </is>
      </c>
      <c r="D106" t="inlineStr">
        <is>
          <t>13:11:00</t>
        </is>
      </c>
      <c r="E106" t="n">
        <v>83.59999999999999</v>
      </c>
      <c r="F106" t="n">
        <v>95.84999999999999</v>
      </c>
      <c r="G106" t="n">
        <v>111626.53</v>
      </c>
      <c r="H106" t="n">
        <v>111626.53</v>
      </c>
      <c r="I106" t="n">
        <v>78138.57000000001</v>
      </c>
      <c r="J106" t="inlineStr">
        <is>
          <t>EXECUTED</t>
        </is>
      </c>
      <c r="K106" t="n">
        <v>28.41</v>
      </c>
      <c r="L106" t="n">
        <v>-10.29</v>
      </c>
      <c r="M106">
        <f>HYPERLINK("../../data_st50/FEB24_DYNAMIC/FEB23/OTM/NIFTY26FEB25650PE_strategy.html", "View")</f>
        <v/>
      </c>
      <c r="N106" t="inlineStr"/>
      <c r="O106" t="inlineStr"/>
      <c r="P106" t="inlineStr">
        <is>
          <t>BEARISH</t>
        </is>
      </c>
      <c r="Q106" t="inlineStr">
        <is>
          <t>INCLUDED (HYBRID_NEUTRAL_ZONE)</t>
        </is>
      </c>
      <c r="R106" t="n">
        <v>14.65</v>
      </c>
      <c r="S106" t="inlineStr">
        <is>
          <t>Dynamic Trailing MA (Fast/Slow MA)</t>
        </is>
      </c>
      <c r="T106" t="n">
        <v>0.2918</v>
      </c>
      <c r="U106" t="n">
        <v>0.4825</v>
      </c>
      <c r="V106" t="inlineStr">
        <is>
          <t>2026-02-23</t>
        </is>
      </c>
      <c r="W106" t="inlineStr">
        <is>
          <t>Between R1 and S1</t>
        </is>
      </c>
      <c r="X106" t="n">
        <v>25672.88</v>
      </c>
      <c r="Y106" t="n">
        <v>25696.62</v>
      </c>
      <c r="Z106" t="n">
        <v>25412.82</v>
      </c>
      <c r="AA106" t="n">
        <v>25821.98</v>
      </c>
      <c r="AB106" t="n">
        <v>25254.38</v>
      </c>
      <c r="AC106" t="n">
        <v>25980.42</v>
      </c>
      <c r="AD106" t="n">
        <v>25129.02</v>
      </c>
    </row>
    <row r="107">
      <c r="A107">
        <f>HYPERLINK("../../data_st50/FEB24_DYNAMIC/FEB23/OTM/NIFTY26FEB25650CE_strategy.csv", "NIFTY26FEB25650CE")</f>
        <v/>
      </c>
      <c r="B107" t="inlineStr">
        <is>
          <t>CE</t>
        </is>
      </c>
      <c r="C107" t="inlineStr">
        <is>
          <t>12:34:01</t>
        </is>
      </c>
      <c r="D107" t="inlineStr">
        <is>
          <t>12:50:00</t>
        </is>
      </c>
      <c r="E107" t="n">
        <v>94.75</v>
      </c>
      <c r="F107" t="n">
        <v>100.85</v>
      </c>
      <c r="G107" t="n">
        <v>97362.87</v>
      </c>
      <c r="H107" t="n">
        <v>100000</v>
      </c>
      <c r="I107" t="n">
        <v>70000</v>
      </c>
      <c r="J107" t="inlineStr">
        <is>
          <t>EXECUTED</t>
        </is>
      </c>
      <c r="K107" t="n">
        <v>24.01</v>
      </c>
      <c r="L107" t="n">
        <v>-7.44</v>
      </c>
      <c r="M107">
        <f>HYPERLINK("../../data_st50/FEB24_DYNAMIC/FEB23/OTM/NIFTY26FEB25650CE_strategy.html", "View")</f>
        <v/>
      </c>
      <c r="N107" t="inlineStr"/>
      <c r="O107" t="inlineStr"/>
      <c r="P107" t="inlineStr">
        <is>
          <t>BEARISH</t>
        </is>
      </c>
      <c r="Q107" t="inlineStr">
        <is>
          <t>INCLUDED (HYBRID_NEUTRAL_ZONE)</t>
        </is>
      </c>
      <c r="R107" t="n">
        <v>6.44</v>
      </c>
      <c r="S107" t="inlineStr">
        <is>
          <t>SuperTrend Stop Loss Exit</t>
        </is>
      </c>
      <c r="T107" t="n">
        <v>0.25</v>
      </c>
      <c r="U107" t="n">
        <v>0.5353</v>
      </c>
      <c r="V107" t="inlineStr">
        <is>
          <t>2026-02-23</t>
        </is>
      </c>
      <c r="W107" t="inlineStr">
        <is>
          <t>Between R1 and S1</t>
        </is>
      </c>
      <c r="X107" t="n">
        <v>25650.66</v>
      </c>
      <c r="Y107" t="n">
        <v>25696.62</v>
      </c>
      <c r="Z107" t="n">
        <v>25412.82</v>
      </c>
      <c r="AA107" t="n">
        <v>25821.98</v>
      </c>
      <c r="AB107" t="n">
        <v>25254.38</v>
      </c>
      <c r="AC107" t="n">
        <v>25980.42</v>
      </c>
      <c r="AD107" t="n">
        <v>25129.02</v>
      </c>
    </row>
    <row r="108">
      <c r="A108">
        <f>HYPERLINK("../../data_st50/FEB24_DYNAMIC/FEB23/OTM/NIFTY26FEB25650CE_strategy.csv", "NIFTY26FEB25650CE")</f>
        <v/>
      </c>
      <c r="B108" t="inlineStr">
        <is>
          <t>CE</t>
        </is>
      </c>
      <c r="C108" t="inlineStr">
        <is>
          <t>11:53:01</t>
        </is>
      </c>
      <c r="D108" t="inlineStr">
        <is>
          <t>12:19:00</t>
        </is>
      </c>
      <c r="E108" t="n">
        <v>95.84999999999999</v>
      </c>
      <c r="F108" t="n">
        <v>108.1</v>
      </c>
      <c r="G108" t="n">
        <v>91472.07000000001</v>
      </c>
      <c r="H108" t="n">
        <v>100000</v>
      </c>
      <c r="I108" t="n">
        <v>70000</v>
      </c>
      <c r="J108" t="inlineStr">
        <is>
          <t>EXECUTED</t>
        </is>
      </c>
      <c r="K108" t="n">
        <v>20.24</v>
      </c>
      <c r="L108" t="n">
        <v>-9.91</v>
      </c>
      <c r="M108">
        <f>HYPERLINK("../../data_st50/FEB24_DYNAMIC/FEB23/OTM/NIFTY26FEB25650CE_strategy.html", "View")</f>
        <v/>
      </c>
      <c r="N108" t="inlineStr"/>
      <c r="O108" t="inlineStr"/>
      <c r="P108" t="inlineStr">
        <is>
          <t>BEARISH</t>
        </is>
      </c>
      <c r="Q108" t="inlineStr">
        <is>
          <t>INCLUDED (HYBRID_NEUTRAL_ZONE)</t>
        </is>
      </c>
      <c r="R108" t="n">
        <v>12.78</v>
      </c>
      <c r="S108" t="inlineStr">
        <is>
          <t>Dynamic Trailing MA (Fast/Slow MA)</t>
        </is>
      </c>
      <c r="T108" t="n">
        <v>0.3338</v>
      </c>
      <c r="U108" t="n">
        <v>0.3745</v>
      </c>
      <c r="V108" t="inlineStr">
        <is>
          <t>2026-02-23</t>
        </is>
      </c>
      <c r="W108" t="inlineStr">
        <is>
          <t>Between R1 and S1</t>
        </is>
      </c>
      <c r="X108" t="n">
        <v>25654.26</v>
      </c>
      <c r="Y108" t="n">
        <v>25696.62</v>
      </c>
      <c r="Z108" t="n">
        <v>25412.82</v>
      </c>
      <c r="AA108" t="n">
        <v>25821.98</v>
      </c>
      <c r="AB108" t="n">
        <v>25254.38</v>
      </c>
      <c r="AC108" t="n">
        <v>25980.42</v>
      </c>
      <c r="AD108" t="n">
        <v>25129.02</v>
      </c>
    </row>
    <row r="109">
      <c r="A109">
        <f>HYPERLINK("../../data_st50/FEB24_DYNAMIC/FEB23/OTM/NIFTY26FEB25650PE_strategy.csv", "NIFTY26FEB25650PE")</f>
        <v/>
      </c>
      <c r="B109" t="inlineStr">
        <is>
          <t>PE</t>
        </is>
      </c>
      <c r="C109" t="inlineStr">
        <is>
          <t>11:19:01</t>
        </is>
      </c>
      <c r="D109" t="inlineStr">
        <is>
          <t>11:24:00</t>
        </is>
      </c>
      <c r="E109" t="n">
        <v>82.90000000000001</v>
      </c>
      <c r="F109" t="n">
        <v>89.7</v>
      </c>
      <c r="G109" t="n">
        <v>81106.64</v>
      </c>
      <c r="H109" t="n">
        <v>100000</v>
      </c>
      <c r="I109" t="n">
        <v>70000</v>
      </c>
      <c r="J109" t="inlineStr">
        <is>
          <t>EXECUTED</t>
        </is>
      </c>
      <c r="K109" t="n">
        <v>11.1</v>
      </c>
      <c r="L109" t="n">
        <v>-14.54</v>
      </c>
      <c r="M109">
        <f>HYPERLINK("../../data_st50/FEB24_DYNAMIC/FEB23/OTM/NIFTY26FEB25650PE_strategy.html", "View")</f>
        <v/>
      </c>
      <c r="N109" t="inlineStr"/>
      <c r="O109" t="inlineStr"/>
      <c r="P109" t="inlineStr">
        <is>
          <t>NEUTRAL</t>
        </is>
      </c>
      <c r="Q109" t="inlineStr">
        <is>
          <t>INCLUDED</t>
        </is>
      </c>
      <c r="R109" t="n">
        <v>8.199999999999999</v>
      </c>
      <c r="S109" t="inlineStr">
        <is>
          <t>Dynamic Trailing MA (Fast/Slow MA)</t>
        </is>
      </c>
      <c r="T109" t="n">
        <v>0.5646</v>
      </c>
      <c r="U109" t="n">
        <v>0.5273</v>
      </c>
      <c r="V109" t="inlineStr">
        <is>
          <t>2026-02-23</t>
        </is>
      </c>
      <c r="W109" t="inlineStr">
        <is>
          <t>Between R1 and S1</t>
        </is>
      </c>
      <c r="X109" t="n">
        <v>25677.19</v>
      </c>
      <c r="Y109" t="n">
        <v>25696.62</v>
      </c>
      <c r="Z109" t="n">
        <v>25412.82</v>
      </c>
      <c r="AA109" t="n">
        <v>25821.98</v>
      </c>
      <c r="AB109" t="n">
        <v>25254.38</v>
      </c>
      <c r="AC109" t="n">
        <v>25980.42</v>
      </c>
      <c r="AD109" t="n">
        <v>25129.02</v>
      </c>
    </row>
    <row r="110">
      <c r="A110">
        <f>HYPERLINK("../../data_st50/FEB24_DYNAMIC/FEB23/OTM/NIFTY26FEB25700CE_strategy.csv", "NIFTY26FEB25700CE")</f>
        <v/>
      </c>
      <c r="B110" t="inlineStr">
        <is>
          <t>CE</t>
        </is>
      </c>
      <c r="C110" t="inlineStr">
        <is>
          <t>11:10:01</t>
        </is>
      </c>
      <c r="D110" t="inlineStr">
        <is>
          <t>11:22:00</t>
        </is>
      </c>
      <c r="E110" t="n">
        <v>90.59999999999999</v>
      </c>
      <c r="F110" t="n">
        <v>87.25</v>
      </c>
      <c r="G110" t="n">
        <v>74959.92999999999</v>
      </c>
      <c r="H110" t="n">
        <v>100000</v>
      </c>
      <c r="I110" t="n">
        <v>70000</v>
      </c>
      <c r="J110" t="inlineStr">
        <is>
          <t>EXECUTED</t>
        </is>
      </c>
      <c r="K110" t="n">
        <v>9.93</v>
      </c>
      <c r="L110" t="n">
        <v>-18.05</v>
      </c>
      <c r="M110">
        <f>HYPERLINK("../../data_st50/FEB24_DYNAMIC/FEB23/OTM/NIFTY26FEB25700CE_strategy.html", "View")</f>
        <v/>
      </c>
      <c r="N110" t="inlineStr"/>
      <c r="O110" t="inlineStr"/>
      <c r="P110" t="inlineStr">
        <is>
          <t>NEUTRAL</t>
        </is>
      </c>
      <c r="Q110" t="inlineStr">
        <is>
          <t>INCLUDED</t>
        </is>
      </c>
      <c r="R110" t="n">
        <v>-3.7</v>
      </c>
      <c r="S110" t="inlineStr">
        <is>
          <t>Dynamic Trailing MA (Fast/Slow MA)</t>
        </is>
      </c>
      <c r="T110" t="n">
        <v>0.5749</v>
      </c>
      <c r="U110" t="n">
        <v>0.5457</v>
      </c>
      <c r="V110" t="inlineStr">
        <is>
          <t>2026-02-23</t>
        </is>
      </c>
      <c r="W110" t="inlineStr">
        <is>
          <t>Between R1 and S1</t>
        </is>
      </c>
      <c r="X110" t="n">
        <v>25684.74</v>
      </c>
      <c r="Y110" t="n">
        <v>25696.62</v>
      </c>
      <c r="Z110" t="n">
        <v>25412.82</v>
      </c>
      <c r="AA110" t="n">
        <v>25821.98</v>
      </c>
      <c r="AB110" t="n">
        <v>25254.38</v>
      </c>
      <c r="AC110" t="n">
        <v>25980.42</v>
      </c>
      <c r="AD110" t="n">
        <v>25129.02</v>
      </c>
    </row>
    <row r="111">
      <c r="A111">
        <f>HYPERLINK("../../data_st50/FEB24_DYNAMIC/FEB23/OTM/NIFTY26FEB25650PE_strategy.csv", "NIFTY26FEB25650PE")</f>
        <v/>
      </c>
      <c r="B111" t="inlineStr">
        <is>
          <t>PE</t>
        </is>
      </c>
      <c r="C111" t="inlineStr">
        <is>
          <t>11:05:01</t>
        </is>
      </c>
      <c r="D111" t="inlineStr">
        <is>
          <t>11:09:00</t>
        </is>
      </c>
      <c r="E111" t="n">
        <v>81.8</v>
      </c>
      <c r="F111" t="n">
        <v>80.81999999999999</v>
      </c>
      <c r="G111" t="n">
        <v>77840.00999999999</v>
      </c>
      <c r="H111" t="n">
        <v>100000</v>
      </c>
      <c r="I111" t="n">
        <v>70000</v>
      </c>
      <c r="J111" t="inlineStr">
        <is>
          <t>EXECUTED</t>
        </is>
      </c>
      <c r="K111" t="n">
        <v>24.45</v>
      </c>
      <c r="L111" t="n">
        <v>-8.5</v>
      </c>
      <c r="M111">
        <f>HYPERLINK("../../data_st50/FEB24_DYNAMIC/FEB23/OTM/NIFTY26FEB25650PE_strategy.html", "View")</f>
        <v/>
      </c>
      <c r="N111" t="inlineStr"/>
      <c r="O111" t="inlineStr"/>
      <c r="P111" t="inlineStr">
        <is>
          <t>NEUTRAL</t>
        </is>
      </c>
      <c r="Q111" t="inlineStr">
        <is>
          <t>INCLUDED</t>
        </is>
      </c>
      <c r="R111" t="n">
        <v>-1.2</v>
      </c>
      <c r="S111" t="inlineStr">
        <is>
          <t>SuperTrend Stop Loss Exit</t>
        </is>
      </c>
      <c r="T111" t="n">
        <v>0.4044</v>
      </c>
      <c r="U111" t="n">
        <v>0.5458</v>
      </c>
      <c r="V111" t="inlineStr">
        <is>
          <t>2026-02-23</t>
        </is>
      </c>
      <c r="W111" t="inlineStr">
        <is>
          <t>Between R1 and S1</t>
        </is>
      </c>
      <c r="X111" t="n">
        <v>25679.31</v>
      </c>
      <c r="Y111" t="n">
        <v>25696.62</v>
      </c>
      <c r="Z111" t="n">
        <v>25412.82</v>
      </c>
      <c r="AA111" t="n">
        <v>25821.98</v>
      </c>
      <c r="AB111" t="n">
        <v>25254.38</v>
      </c>
      <c r="AC111" t="n">
        <v>25980.42</v>
      </c>
      <c r="AD111" t="n">
        <v>25129.02</v>
      </c>
    </row>
    <row r="112">
      <c r="A112">
        <f>HYPERLINK("../../data_st50/FEB24_DYNAMIC/FEB23/OTM/NIFTY26FEB25700CE_strategy.csv", "NIFTY26FEB25700CE")</f>
        <v/>
      </c>
      <c r="B112" t="inlineStr">
        <is>
          <t>CE</t>
        </is>
      </c>
      <c r="C112" t="inlineStr">
        <is>
          <t>10:52:01</t>
        </is>
      </c>
      <c r="D112" t="inlineStr">
        <is>
          <t>11:06:00</t>
        </is>
      </c>
      <c r="E112" t="n">
        <v>87.45</v>
      </c>
      <c r="F112" t="n">
        <v>83.2</v>
      </c>
      <c r="G112" t="n">
        <v>78785.42999999999</v>
      </c>
      <c r="H112" t="n">
        <v>100000</v>
      </c>
      <c r="I112" t="n">
        <v>70000</v>
      </c>
      <c r="J112" t="inlineStr">
        <is>
          <t>EXECUTED</t>
        </is>
      </c>
      <c r="K112" t="n">
        <v>10.81</v>
      </c>
      <c r="L112" t="n">
        <v>-10.69</v>
      </c>
      <c r="M112">
        <f>HYPERLINK("../../data_st50/FEB24_DYNAMIC/FEB23/OTM/NIFTY26FEB25700CE_strategy.html", "View")</f>
        <v/>
      </c>
      <c r="N112" t="inlineStr"/>
      <c r="O112" t="inlineStr"/>
      <c r="P112" t="inlineStr">
        <is>
          <t>NEUTRAL</t>
        </is>
      </c>
      <c r="Q112" t="inlineStr">
        <is>
          <t>INCLUDED</t>
        </is>
      </c>
      <c r="R112" t="n">
        <v>-4.86</v>
      </c>
      <c r="S112" t="inlineStr">
        <is>
          <t>SuperTrend Stop Loss Exit</t>
        </is>
      </c>
      <c r="T112" t="n">
        <v>0.3807</v>
      </c>
      <c r="U112" t="n">
        <v>0.836</v>
      </c>
      <c r="V112" t="inlineStr">
        <is>
          <t>2026-02-23</t>
        </is>
      </c>
      <c r="W112" t="inlineStr">
        <is>
          <t>Between R1 and S1</t>
        </is>
      </c>
      <c r="X112" t="n">
        <v>25669.3</v>
      </c>
      <c r="Y112" t="n">
        <v>25696.62</v>
      </c>
      <c r="Z112" t="n">
        <v>25412.82</v>
      </c>
      <c r="AA112" t="n">
        <v>25821.98</v>
      </c>
      <c r="AB112" t="n">
        <v>25254.38</v>
      </c>
      <c r="AC112" t="n">
        <v>25980.42</v>
      </c>
      <c r="AD112" t="n">
        <v>25129.02</v>
      </c>
    </row>
    <row r="113">
      <c r="A113">
        <f>HYPERLINK("../../data_st50/MAR02_DYNAMIC/FEB26/OTM/NIFTY2630225400PE_strategy.csv", "NIFTY2630225400PE")</f>
        <v/>
      </c>
      <c r="B113" t="inlineStr">
        <is>
          <t>PE</t>
        </is>
      </c>
      <c r="C113" t="inlineStr">
        <is>
          <t>13:47:01</t>
        </is>
      </c>
      <c r="D113" t="inlineStr">
        <is>
          <t>13:54:00</t>
        </is>
      </c>
      <c r="E113" t="n">
        <v>110.4</v>
      </c>
      <c r="F113" t="n">
        <v>100.46</v>
      </c>
      <c r="G113" t="n">
        <v>132175.76</v>
      </c>
      <c r="H113" t="n">
        <v>159613.29</v>
      </c>
      <c r="I113" t="n">
        <v>111729.3</v>
      </c>
      <c r="J113" t="inlineStr">
        <is>
          <t>EXECUTED</t>
        </is>
      </c>
      <c r="K113" t="n">
        <v>3.94</v>
      </c>
      <c r="L113" t="n">
        <v>-6.84</v>
      </c>
      <c r="M113">
        <f>HYPERLINK("../../data_st50/MAR02_DYNAMIC/FEB26/OTM/NIFTY2630225400PE_strategy.html", "View")</f>
        <v/>
      </c>
      <c r="N113" t="inlineStr"/>
      <c r="O113" t="inlineStr"/>
      <c r="P113" t="inlineStr">
        <is>
          <t>BEARISH</t>
        </is>
      </c>
      <c r="Q113" t="inlineStr">
        <is>
          <t>INCLUDED (HYBRID_NEUTRAL_ZONE)</t>
        </is>
      </c>
      <c r="R113" t="n">
        <v>-9</v>
      </c>
      <c r="S113" t="inlineStr">
        <is>
          <t>Fixed Stop Loss</t>
        </is>
      </c>
      <c r="T113" t="n">
        <v>0.4858</v>
      </c>
      <c r="U113" t="inlineStr"/>
      <c r="V113" t="inlineStr">
        <is>
          <t>2026-02-26</t>
        </is>
      </c>
      <c r="W113" t="inlineStr">
        <is>
          <t>Between R1 and S1</t>
        </is>
      </c>
      <c r="X113" t="n">
        <v>25423.31</v>
      </c>
      <c r="Y113" t="n">
        <v>25614</v>
      </c>
      <c r="Z113" t="n">
        <v>25389.6</v>
      </c>
      <c r="AA113" t="n">
        <v>25745.5</v>
      </c>
      <c r="AB113" t="n">
        <v>25296.7</v>
      </c>
      <c r="AC113" t="n">
        <v>25838.4</v>
      </c>
      <c r="AD113" t="n">
        <v>25165.2</v>
      </c>
    </row>
    <row r="114">
      <c r="A114">
        <f>HYPERLINK("../../data_st50/MAR02_DYNAMIC/FEB26/OTM/NIFTY2630225500CE_strategy.csv", "NIFTY2630225500CE")</f>
        <v/>
      </c>
      <c r="B114" t="inlineStr">
        <is>
          <t>CE</t>
        </is>
      </c>
      <c r="C114" t="inlineStr">
        <is>
          <t>12:06:01</t>
        </is>
      </c>
      <c r="D114" t="inlineStr">
        <is>
          <t>12:20:00</t>
        </is>
      </c>
      <c r="E114" t="n">
        <v>118.6</v>
      </c>
      <c r="F114" t="n">
        <v>107.93</v>
      </c>
      <c r="G114" t="n">
        <v>145248.09</v>
      </c>
      <c r="H114" t="n">
        <v>159613.29</v>
      </c>
      <c r="I114" t="n">
        <v>111729.3</v>
      </c>
      <c r="J114" t="inlineStr">
        <is>
          <t>EXECUTED</t>
        </is>
      </c>
      <c r="K114" t="n">
        <v>2.57</v>
      </c>
      <c r="L114" t="n">
        <v>-5.86</v>
      </c>
      <c r="M114">
        <f>HYPERLINK("../../data_st50/MAR02_DYNAMIC/FEB26/OTM/NIFTY2630225500CE_strategy.html", "View")</f>
        <v/>
      </c>
      <c r="N114" t="inlineStr"/>
      <c r="O114" t="inlineStr"/>
      <c r="P114" t="inlineStr">
        <is>
          <t>BULLISH</t>
        </is>
      </c>
      <c r="Q114" t="inlineStr">
        <is>
          <t>INCLUDED (HYBRID_NEUTRAL_ZONE)</t>
        </is>
      </c>
      <c r="R114" t="n">
        <v>-9</v>
      </c>
      <c r="S114" t="inlineStr">
        <is>
          <t>Fixed Stop Loss</t>
        </is>
      </c>
      <c r="T114" t="n">
        <v>0.2977</v>
      </c>
      <c r="U114" t="inlineStr"/>
      <c r="V114" t="inlineStr">
        <is>
          <t>2026-02-26</t>
        </is>
      </c>
      <c r="W114" t="inlineStr">
        <is>
          <t>Between R1 and S1</t>
        </is>
      </c>
      <c r="X114" t="n">
        <v>25473.83</v>
      </c>
      <c r="Y114" t="n">
        <v>25614</v>
      </c>
      <c r="Z114" t="n">
        <v>25389.6</v>
      </c>
      <c r="AA114" t="n">
        <v>25745.5</v>
      </c>
      <c r="AB114" t="n">
        <v>25296.7</v>
      </c>
      <c r="AC114" t="n">
        <v>25838.4</v>
      </c>
      <c r="AD114" t="n">
        <v>25165.2</v>
      </c>
    </row>
    <row r="115">
      <c r="A115">
        <f>HYPERLINK("../../data_st50/MAR02_DYNAMIC/FEB26/OTM/NIFTY2630225550PE_strategy.csv", "NIFTY2630225550PE")</f>
        <v/>
      </c>
      <c r="B115" t="inlineStr">
        <is>
          <t>PE</t>
        </is>
      </c>
      <c r="C115" t="inlineStr">
        <is>
          <t>11:30:01</t>
        </is>
      </c>
      <c r="D115" t="inlineStr">
        <is>
          <t>11:56:00</t>
        </is>
      </c>
      <c r="E115" t="n">
        <v>115.35</v>
      </c>
      <c r="F115" t="n">
        <v>163.55</v>
      </c>
      <c r="G115" t="n">
        <v>159613.29</v>
      </c>
      <c r="H115" t="n">
        <v>159613.29</v>
      </c>
      <c r="I115" t="n">
        <v>111729.3</v>
      </c>
      <c r="J115" t="inlineStr">
        <is>
          <t>EXECUTED</t>
        </is>
      </c>
      <c r="K115" t="n">
        <v>48.89</v>
      </c>
      <c r="L115" t="n">
        <v>-13.31</v>
      </c>
      <c r="M115">
        <f>HYPERLINK("../../data_st50/MAR02_DYNAMIC/FEB26/OTM/NIFTY2630225550PE_strategy.html", "View")</f>
        <v/>
      </c>
      <c r="N115" t="inlineStr"/>
      <c r="O115" t="inlineStr"/>
      <c r="P115" t="inlineStr">
        <is>
          <t>BEARISH</t>
        </is>
      </c>
      <c r="Q115" t="inlineStr">
        <is>
          <t>INCLUDED (HYBRID_NEUTRAL_ZONE)</t>
        </is>
      </c>
      <c r="R115" t="n">
        <v>41.79</v>
      </c>
      <c r="S115" t="inlineStr">
        <is>
          <t>Dynamic Trailing MA (Fast/Slow MA)</t>
        </is>
      </c>
      <c r="T115" t="n">
        <v>0.423</v>
      </c>
      <c r="U115" t="n">
        <v>0.5541</v>
      </c>
      <c r="V115" t="inlineStr">
        <is>
          <t>2026-02-26</t>
        </is>
      </c>
      <c r="W115" t="inlineStr">
        <is>
          <t>Between R1 and S1</t>
        </is>
      </c>
      <c r="X115" t="n">
        <v>25531.24</v>
      </c>
      <c r="Y115" t="n">
        <v>25614</v>
      </c>
      <c r="Z115" t="n">
        <v>25389.6</v>
      </c>
      <c r="AA115" t="n">
        <v>25745.5</v>
      </c>
      <c r="AB115" t="n">
        <v>25296.7</v>
      </c>
      <c r="AC115" t="n">
        <v>25838.4</v>
      </c>
      <c r="AD115" t="n">
        <v>25165.2</v>
      </c>
    </row>
    <row r="116">
      <c r="A116">
        <f>HYPERLINK("../../data_st50/MAR02_DYNAMIC/FEB26/OTM/NIFTY2630225550CE_strategy.csv", "NIFTY2630225550CE")</f>
        <v/>
      </c>
      <c r="B116" t="inlineStr">
        <is>
          <t>CE</t>
        </is>
      </c>
      <c r="C116" t="inlineStr">
        <is>
          <t>11:04:01</t>
        </is>
      </c>
      <c r="D116" t="inlineStr">
        <is>
          <t>11:28:00</t>
        </is>
      </c>
      <c r="E116" t="n">
        <v>115.7</v>
      </c>
      <c r="F116" t="n">
        <v>130.94</v>
      </c>
      <c r="G116" t="n">
        <v>112570.2</v>
      </c>
      <c r="H116" t="n">
        <v>112570.2</v>
      </c>
      <c r="I116" t="n">
        <v>78799.14</v>
      </c>
      <c r="J116" t="inlineStr">
        <is>
          <t>EXECUTED</t>
        </is>
      </c>
      <c r="K116" t="n">
        <v>28.09</v>
      </c>
      <c r="L116" t="n">
        <v>-9.51</v>
      </c>
      <c r="M116">
        <f>HYPERLINK("../../data_st50/MAR02_DYNAMIC/FEB26/OTM/NIFTY2630225550CE_strategy.html", "View")</f>
        <v/>
      </c>
      <c r="N116" t="inlineStr"/>
      <c r="O116" t="inlineStr"/>
      <c r="P116" t="inlineStr">
        <is>
          <t>NEUTRAL</t>
        </is>
      </c>
      <c r="Q116" t="inlineStr">
        <is>
          <t>INCLUDED</t>
        </is>
      </c>
      <c r="R116" t="n">
        <v>13.17</v>
      </c>
      <c r="S116" t="inlineStr">
        <is>
          <t>SuperTrend Stop Loss Exit</t>
        </is>
      </c>
      <c r="T116" t="n">
        <v>0.2616</v>
      </c>
      <c r="U116" t="n">
        <v>0.6379</v>
      </c>
      <c r="V116" t="inlineStr">
        <is>
          <t>2026-02-26</t>
        </is>
      </c>
      <c r="W116" t="inlineStr">
        <is>
          <t>Between R1 and S1</t>
        </is>
      </c>
      <c r="X116" t="n">
        <v>25520.14</v>
      </c>
      <c r="Y116" t="n">
        <v>25614</v>
      </c>
      <c r="Z116" t="n">
        <v>25389.6</v>
      </c>
      <c r="AA116" t="n">
        <v>25745.5</v>
      </c>
      <c r="AB116" t="n">
        <v>25296.7</v>
      </c>
      <c r="AC116" t="n">
        <v>25838.4</v>
      </c>
      <c r="AD116" t="n">
        <v>25165.2</v>
      </c>
    </row>
    <row r="117">
      <c r="A117">
        <f>HYPERLINK("../../data_st50/MAR02_DYNAMIC/FEB26/OTM/NIFTY2630225500PE_strategy.csv", "NIFTY2630225500PE")</f>
        <v/>
      </c>
      <c r="B117" t="inlineStr">
        <is>
          <t>PE</t>
        </is>
      </c>
      <c r="C117" t="inlineStr">
        <is>
          <t>09:54:01</t>
        </is>
      </c>
      <c r="D117" t="inlineStr">
        <is>
          <t>10:02:00</t>
        </is>
      </c>
      <c r="E117" t="n">
        <v>101.8</v>
      </c>
      <c r="F117" t="n">
        <v>101.26</v>
      </c>
      <c r="G117" t="n">
        <v>99470</v>
      </c>
      <c r="H117" t="n">
        <v>100000</v>
      </c>
      <c r="I117" t="n">
        <v>70000</v>
      </c>
      <c r="J117" t="inlineStr">
        <is>
          <t>EXECUTED</t>
        </is>
      </c>
      <c r="K117" t="n">
        <v>21.07</v>
      </c>
      <c r="L117" t="n">
        <v>-11.59</v>
      </c>
      <c r="M117">
        <f>HYPERLINK("../../data_st50/MAR02_DYNAMIC/FEB26/OTM/NIFTY2630225500PE_strategy.html", "View")</f>
        <v/>
      </c>
      <c r="N117" t="inlineStr"/>
      <c r="O117" t="inlineStr"/>
      <c r="P117" t="inlineStr">
        <is>
          <t>BEARISH</t>
        </is>
      </c>
      <c r="Q117" t="inlineStr">
        <is>
          <t>INCLUDED (HYBRID_NEUTRAL_ZONE)</t>
        </is>
      </c>
      <c r="R117" t="n">
        <v>-0.53</v>
      </c>
      <c r="S117" t="inlineStr">
        <is>
          <t>SuperTrend Stop Loss Exit</t>
        </is>
      </c>
      <c r="T117" t="n">
        <v>0.7602</v>
      </c>
      <c r="U117" t="n">
        <v>0.7644</v>
      </c>
      <c r="V117" t="inlineStr">
        <is>
          <t>2026-02-26</t>
        </is>
      </c>
      <c r="W117" t="inlineStr">
        <is>
          <t>Between R1 and S1</t>
        </is>
      </c>
      <c r="X117" t="n">
        <v>25521.17</v>
      </c>
      <c r="Y117" t="n">
        <v>25614</v>
      </c>
      <c r="Z117" t="n">
        <v>25389.6</v>
      </c>
      <c r="AA117" t="n">
        <v>25745.5</v>
      </c>
      <c r="AB117" t="n">
        <v>25296.7</v>
      </c>
      <c r="AC117" t="n">
        <v>25838.4</v>
      </c>
      <c r="AD117" t="n">
        <v>25165.2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option_type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running_capital</t>
        </is>
      </c>
      <c r="H1" s="1" t="inlineStr">
        <is>
          <t>high_water_mark</t>
        </is>
      </c>
      <c r="I1" s="1" t="inlineStr">
        <is>
          <t>drawdown_limit</t>
        </is>
      </c>
      <c r="J1" s="1" t="inlineStr">
        <is>
          <t>trade_status</t>
        </is>
      </c>
      <c r="K1" s="1" t="inlineStr">
        <is>
          <t>high</t>
        </is>
      </c>
      <c r="L1" s="1" t="inlineStr">
        <is>
          <t>swing_low</t>
        </is>
      </c>
      <c r="M1" s="1" t="inlineStr">
        <is>
          <t>symbol_html</t>
        </is>
      </c>
      <c r="N1" s="1" t="inlineStr">
        <is>
          <t>realized_pnl_pct</t>
        </is>
      </c>
      <c r="O1" s="1" t="inlineStr">
        <is>
          <t>trade_status_reason</t>
        </is>
      </c>
      <c r="P1" s="1" t="inlineStr">
        <is>
          <t>market_sentiment</t>
        </is>
      </c>
      <c r="Q1" s="1" t="inlineStr">
        <is>
          <t>filter_status</t>
        </is>
      </c>
      <c r="R1" s="1" t="inlineStr">
        <is>
          <t>sentiment_pnl</t>
        </is>
      </c>
      <c r="S1" s="1" t="inlineStr">
        <is>
          <t>exit_reason</t>
        </is>
      </c>
      <c r="T1" s="1" t="inlineStr">
        <is>
          <t>demarker</t>
        </is>
      </c>
      <c r="U1" s="1" t="inlineStr">
        <is>
          <t>demarker_at_7pct</t>
        </is>
      </c>
      <c r="V1" s="1" t="inlineStr">
        <is>
          <t>date</t>
        </is>
      </c>
      <c r="W1" s="1" t="inlineStr">
        <is>
          <t>zone</t>
        </is>
      </c>
      <c r="X1" s="1" t="inlineStr">
        <is>
          <t>nifty_at_entry</t>
        </is>
      </c>
      <c r="Y1" s="1" t="inlineStr">
        <is>
          <t>R1</t>
        </is>
      </c>
      <c r="Z1" s="1" t="inlineStr">
        <is>
          <t>S1</t>
        </is>
      </c>
      <c r="AA1" s="1" t="inlineStr">
        <is>
          <t>R2</t>
        </is>
      </c>
      <c r="AB1" s="1" t="inlineStr">
        <is>
          <t>S2</t>
        </is>
      </c>
      <c r="AC1" s="1" t="inlineStr">
        <is>
          <t>R3</t>
        </is>
      </c>
      <c r="AD1" s="1" t="inlineStr">
        <is>
          <t>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option_type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running_capital</t>
        </is>
      </c>
      <c r="H1" s="1" t="inlineStr">
        <is>
          <t>high_water_mark</t>
        </is>
      </c>
      <c r="I1" s="1" t="inlineStr">
        <is>
          <t>drawdown_limit</t>
        </is>
      </c>
      <c r="J1" s="1" t="inlineStr">
        <is>
          <t>trade_status</t>
        </is>
      </c>
      <c r="K1" s="1" t="inlineStr">
        <is>
          <t>high</t>
        </is>
      </c>
      <c r="L1" s="1" t="inlineStr">
        <is>
          <t>swing_low</t>
        </is>
      </c>
      <c r="M1" s="1" t="inlineStr">
        <is>
          <t>symbol_html</t>
        </is>
      </c>
      <c r="N1" s="1" t="inlineStr">
        <is>
          <t>realized_pnl_pct</t>
        </is>
      </c>
      <c r="O1" s="1" t="inlineStr">
        <is>
          <t>trade_status_reason</t>
        </is>
      </c>
      <c r="P1" s="1" t="inlineStr">
        <is>
          <t>market_sentiment</t>
        </is>
      </c>
      <c r="Q1" s="1" t="inlineStr">
        <is>
          <t>filter_status</t>
        </is>
      </c>
      <c r="R1" s="1" t="inlineStr">
        <is>
          <t>sentiment_pnl</t>
        </is>
      </c>
      <c r="S1" s="1" t="inlineStr">
        <is>
          <t>exit_reason</t>
        </is>
      </c>
      <c r="T1" s="1" t="inlineStr">
        <is>
          <t>demarker</t>
        </is>
      </c>
      <c r="U1" s="1" t="inlineStr">
        <is>
          <t>demarker_at_7pct</t>
        </is>
      </c>
      <c r="V1" s="1" t="inlineStr">
        <is>
          <t>date</t>
        </is>
      </c>
      <c r="W1" s="1" t="inlineStr">
        <is>
          <t>zone</t>
        </is>
      </c>
      <c r="X1" s="1" t="inlineStr">
        <is>
          <t>nifty_at_entry</t>
        </is>
      </c>
      <c r="Y1" s="1" t="inlineStr">
        <is>
          <t>R1</t>
        </is>
      </c>
      <c r="Z1" s="1" t="inlineStr">
        <is>
          <t>S1</t>
        </is>
      </c>
      <c r="AA1" s="1" t="inlineStr">
        <is>
          <t>R2</t>
        </is>
      </c>
      <c r="AB1" s="1" t="inlineStr">
        <is>
          <t>S2</t>
        </is>
      </c>
      <c r="AC1" s="1" t="inlineStr">
        <is>
          <t>R3</t>
        </is>
      </c>
      <c r="AD1" s="1" t="inlineStr">
        <is>
          <t>S3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option_type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running_capital</t>
        </is>
      </c>
      <c r="H1" s="1" t="inlineStr">
        <is>
          <t>high_water_mark</t>
        </is>
      </c>
      <c r="I1" s="1" t="inlineStr">
        <is>
          <t>drawdown_limit</t>
        </is>
      </c>
      <c r="J1" s="1" t="inlineStr">
        <is>
          <t>trade_status</t>
        </is>
      </c>
      <c r="K1" s="1" t="inlineStr">
        <is>
          <t>high</t>
        </is>
      </c>
      <c r="L1" s="1" t="inlineStr">
        <is>
          <t>swing_low</t>
        </is>
      </c>
      <c r="M1" s="1" t="inlineStr">
        <is>
          <t>symbol_html</t>
        </is>
      </c>
      <c r="N1" s="1" t="inlineStr">
        <is>
          <t>realized_pnl_pct</t>
        </is>
      </c>
      <c r="O1" s="1" t="inlineStr">
        <is>
          <t>trade_status_reason</t>
        </is>
      </c>
      <c r="P1" s="1" t="inlineStr">
        <is>
          <t>market_sentiment</t>
        </is>
      </c>
      <c r="Q1" s="1" t="inlineStr">
        <is>
          <t>filter_status</t>
        </is>
      </c>
      <c r="R1" s="1" t="inlineStr">
        <is>
          <t>sentiment_pnl</t>
        </is>
      </c>
      <c r="S1" s="1" t="inlineStr">
        <is>
          <t>exit_reason</t>
        </is>
      </c>
      <c r="T1" s="1" t="inlineStr">
        <is>
          <t>demarker</t>
        </is>
      </c>
      <c r="U1" s="1" t="inlineStr">
        <is>
          <t>demarker_at_7pct</t>
        </is>
      </c>
      <c r="V1" s="1" t="inlineStr">
        <is>
          <t>date</t>
        </is>
      </c>
      <c r="W1" s="1" t="inlineStr">
        <is>
          <t>zone</t>
        </is>
      </c>
      <c r="X1" s="1" t="inlineStr">
        <is>
          <t>nifty_at_entry</t>
        </is>
      </c>
      <c r="Y1" s="1" t="inlineStr">
        <is>
          <t>R1</t>
        </is>
      </c>
      <c r="Z1" s="1" t="inlineStr">
        <is>
          <t>S1</t>
        </is>
      </c>
      <c r="AA1" s="1" t="inlineStr">
        <is>
          <t>R2</t>
        </is>
      </c>
      <c r="AB1" s="1" t="inlineStr">
        <is>
          <t>S2</t>
        </is>
      </c>
      <c r="AC1" s="1" t="inlineStr">
        <is>
          <t>R3</t>
        </is>
      </c>
      <c r="AD1" s="1" t="inlineStr">
        <is>
          <t>S3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option_type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running_capital</t>
        </is>
      </c>
      <c r="H1" s="1" t="inlineStr">
        <is>
          <t>high_water_mark</t>
        </is>
      </c>
      <c r="I1" s="1" t="inlineStr">
        <is>
          <t>drawdown_limit</t>
        </is>
      </c>
      <c r="J1" s="1" t="inlineStr">
        <is>
          <t>trade_status</t>
        </is>
      </c>
      <c r="K1" s="1" t="inlineStr">
        <is>
          <t>high</t>
        </is>
      </c>
      <c r="L1" s="1" t="inlineStr">
        <is>
          <t>swing_low</t>
        </is>
      </c>
      <c r="M1" s="1" t="inlineStr">
        <is>
          <t>symbol_html</t>
        </is>
      </c>
      <c r="N1" s="1" t="inlineStr">
        <is>
          <t>realized_pnl_pct</t>
        </is>
      </c>
      <c r="O1" s="1" t="inlineStr">
        <is>
          <t>trade_status_reason</t>
        </is>
      </c>
      <c r="P1" s="1" t="inlineStr">
        <is>
          <t>market_sentiment</t>
        </is>
      </c>
      <c r="Q1" s="1" t="inlineStr">
        <is>
          <t>filter_status</t>
        </is>
      </c>
      <c r="R1" s="1" t="inlineStr">
        <is>
          <t>sentiment_pnl</t>
        </is>
      </c>
      <c r="S1" s="1" t="inlineStr">
        <is>
          <t>exit_reason</t>
        </is>
      </c>
      <c r="T1" s="1" t="inlineStr">
        <is>
          <t>demarker</t>
        </is>
      </c>
      <c r="U1" s="1" t="inlineStr">
        <is>
          <t>demarker_at_7pct</t>
        </is>
      </c>
      <c r="V1" s="1" t="inlineStr">
        <is>
          <t>date</t>
        </is>
      </c>
      <c r="W1" s="1" t="inlineStr">
        <is>
          <t>zone</t>
        </is>
      </c>
      <c r="X1" s="1" t="inlineStr">
        <is>
          <t>nifty_at_entry</t>
        </is>
      </c>
      <c r="Y1" s="1" t="inlineStr">
        <is>
          <t>R1</t>
        </is>
      </c>
      <c r="Z1" s="1" t="inlineStr">
        <is>
          <t>S1</t>
        </is>
      </c>
      <c r="AA1" s="1" t="inlineStr">
        <is>
          <t>R2</t>
        </is>
      </c>
      <c r="AB1" s="1" t="inlineStr">
        <is>
          <t>S2</t>
        </is>
      </c>
      <c r="AC1" s="1" t="inlineStr">
        <is>
          <t>R3</t>
        </is>
      </c>
      <c r="AD1" s="1" t="inlineStr">
        <is>
          <t>S3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option_type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running_capital</t>
        </is>
      </c>
      <c r="H1" s="1" t="inlineStr">
        <is>
          <t>high_water_mark</t>
        </is>
      </c>
      <c r="I1" s="1" t="inlineStr">
        <is>
          <t>drawdown_limit</t>
        </is>
      </c>
      <c r="J1" s="1" t="inlineStr">
        <is>
          <t>trade_status</t>
        </is>
      </c>
      <c r="K1" s="1" t="inlineStr">
        <is>
          <t>high</t>
        </is>
      </c>
      <c r="L1" s="1" t="inlineStr">
        <is>
          <t>swing_low</t>
        </is>
      </c>
      <c r="M1" s="1" t="inlineStr">
        <is>
          <t>symbol_html</t>
        </is>
      </c>
      <c r="N1" s="1" t="inlineStr">
        <is>
          <t>realized_pnl_pct</t>
        </is>
      </c>
      <c r="O1" s="1" t="inlineStr">
        <is>
          <t>trade_status_reason</t>
        </is>
      </c>
      <c r="P1" s="1" t="inlineStr">
        <is>
          <t>market_sentiment</t>
        </is>
      </c>
      <c r="Q1" s="1" t="inlineStr">
        <is>
          <t>filter_status</t>
        </is>
      </c>
      <c r="R1" s="1" t="inlineStr">
        <is>
          <t>sentiment_pnl</t>
        </is>
      </c>
      <c r="S1" s="1" t="inlineStr">
        <is>
          <t>exit_reason</t>
        </is>
      </c>
      <c r="T1" s="1" t="inlineStr">
        <is>
          <t>demarker</t>
        </is>
      </c>
      <c r="U1" s="1" t="inlineStr">
        <is>
          <t>demarker_at_7pct</t>
        </is>
      </c>
      <c r="V1" s="1" t="inlineStr">
        <is>
          <t>date</t>
        </is>
      </c>
      <c r="W1" s="1" t="inlineStr">
        <is>
          <t>zone</t>
        </is>
      </c>
      <c r="X1" s="1" t="inlineStr">
        <is>
          <t>nifty_at_entry</t>
        </is>
      </c>
      <c r="Y1" s="1" t="inlineStr">
        <is>
          <t>R1</t>
        </is>
      </c>
      <c r="Z1" s="1" t="inlineStr">
        <is>
          <t>S1</t>
        </is>
      </c>
      <c r="AA1" s="1" t="inlineStr">
        <is>
          <t>R2</t>
        </is>
      </c>
      <c r="AB1" s="1" t="inlineStr">
        <is>
          <t>S2</t>
        </is>
      </c>
      <c r="AC1" s="1" t="inlineStr">
        <is>
          <t>R3</t>
        </is>
      </c>
      <c r="AD1" s="1" t="inlineStr">
        <is>
          <t>S3</t>
        </is>
      </c>
    </row>
    <row r="2">
      <c r="A2">
        <f>HYPERLINK("../../data_st50/DEC09_DYNAMIC/DEC03/OTM/NIFTY25D0925900PE_strategy.csv", "NIFTY25D0925900PE")</f>
        <v/>
      </c>
      <c r="B2" t="inlineStr">
        <is>
          <t>PE</t>
        </is>
      </c>
      <c r="C2" t="inlineStr">
        <is>
          <t>13:39:01</t>
        </is>
      </c>
      <c r="D2" t="inlineStr">
        <is>
          <t>14:05:00</t>
        </is>
      </c>
      <c r="E2" t="n">
        <v>88.75</v>
      </c>
      <c r="F2" t="n">
        <v>94.7</v>
      </c>
      <c r="G2" t="n">
        <v>94559.94</v>
      </c>
      <c r="H2" t="n">
        <v>100000</v>
      </c>
      <c r="I2" t="n">
        <v>70000</v>
      </c>
      <c r="J2" t="inlineStr">
        <is>
          <t>EXECUTED</t>
        </is>
      </c>
      <c r="K2" t="n">
        <v>18.31</v>
      </c>
      <c r="L2" t="n">
        <v>-4.96</v>
      </c>
      <c r="M2">
        <f>HYPERLINK("../../data_st50/DEC09_DYNAMIC/DEC03/OTM/NIFTY25D0925900PE_strategy.html", "View")</f>
        <v/>
      </c>
      <c r="N2" t="inlineStr"/>
      <c r="O2" t="inlineStr"/>
      <c r="P2" t="inlineStr">
        <is>
          <t>NEUTRAL</t>
        </is>
      </c>
      <c r="Q2" t="inlineStr">
        <is>
          <t>INCLUDED</t>
        </is>
      </c>
      <c r="R2" t="n">
        <v>6.7</v>
      </c>
      <c r="S2" t="inlineStr">
        <is>
          <t>SuperTrend Stop Loss Exit</t>
        </is>
      </c>
      <c r="T2" t="n">
        <v>0.1797</v>
      </c>
      <c r="U2" t="n">
        <v>0.5426</v>
      </c>
      <c r="V2" t="inlineStr">
        <is>
          <t>2025-12-03</t>
        </is>
      </c>
      <c r="W2" t="inlineStr">
        <is>
          <t>Below S1</t>
        </is>
      </c>
      <c r="X2" t="n">
        <v>25945.05</v>
      </c>
      <c r="Y2" t="n">
        <v>26125.25</v>
      </c>
      <c r="Z2" t="n">
        <v>25968.5</v>
      </c>
      <c r="AA2" t="n">
        <v>26218.3</v>
      </c>
      <c r="AB2" t="n">
        <v>25904.8</v>
      </c>
      <c r="AC2" t="n">
        <v>26282</v>
      </c>
      <c r="AD2" t="n">
        <v>25811.75</v>
      </c>
    </row>
    <row r="3">
      <c r="A3">
        <f>HYPERLINK("../../data_st50/DEC09_DYNAMIC/DEC03/OTM/NIFTY25D0925900PE_strategy.csv", "NIFTY25D0925900PE")</f>
        <v/>
      </c>
      <c r="B3" t="inlineStr">
        <is>
          <t>PE</t>
        </is>
      </c>
      <c r="C3" t="inlineStr">
        <is>
          <t>11:44:01</t>
        </is>
      </c>
      <c r="D3" t="inlineStr">
        <is>
          <t>12:11:00</t>
        </is>
      </c>
      <c r="E3" t="n">
        <v>98.15000000000001</v>
      </c>
      <c r="F3" t="n">
        <v>89.31999999999999</v>
      </c>
      <c r="G3" t="n">
        <v>88622.24000000001</v>
      </c>
      <c r="H3" t="n">
        <v>100000</v>
      </c>
      <c r="I3" t="n">
        <v>70000</v>
      </c>
      <c r="J3" t="inlineStr">
        <is>
          <t>EXECUTED</t>
        </is>
      </c>
      <c r="K3" t="n">
        <v>1.43</v>
      </c>
      <c r="L3" t="n">
        <v>-7.23</v>
      </c>
      <c r="M3">
        <f>HYPERLINK("../../data_st50/DEC09_DYNAMIC/DEC03/OTM/NIFTY25D0925900PE_strategy.html", "View")</f>
        <v/>
      </c>
      <c r="N3" t="inlineStr"/>
      <c r="O3" t="inlineStr"/>
      <c r="P3" t="inlineStr">
        <is>
          <t>NEUTRAL</t>
        </is>
      </c>
      <c r="Q3" t="inlineStr">
        <is>
          <t>INCLUDED</t>
        </is>
      </c>
      <c r="R3" t="n">
        <v>-9</v>
      </c>
      <c r="S3" t="inlineStr">
        <is>
          <t>Fixed Stop Loss</t>
        </is>
      </c>
      <c r="T3" t="n">
        <v>0.2593</v>
      </c>
      <c r="U3" t="inlineStr"/>
      <c r="V3" t="inlineStr">
        <is>
          <t>2025-12-03</t>
        </is>
      </c>
      <c r="W3" t="inlineStr">
        <is>
          <t>Below S1</t>
        </is>
      </c>
      <c r="X3" t="n">
        <v>25930.55</v>
      </c>
      <c r="Y3" t="n">
        <v>26125.25</v>
      </c>
      <c r="Z3" t="n">
        <v>25968.5</v>
      </c>
      <c r="AA3" t="n">
        <v>26218.3</v>
      </c>
      <c r="AB3" t="n">
        <v>25904.8</v>
      </c>
      <c r="AC3" t="n">
        <v>26282</v>
      </c>
      <c r="AD3" t="n">
        <v>25811.75</v>
      </c>
    </row>
    <row r="4">
      <c r="A4">
        <f>HYPERLINK("../../data_st50/DEC09_DYNAMIC/DEC03/OTM/NIFTY25D0925900PE_strategy.csv", "NIFTY25D0925900PE")</f>
        <v/>
      </c>
      <c r="B4" t="inlineStr">
        <is>
          <t>PE</t>
        </is>
      </c>
      <c r="C4" t="inlineStr">
        <is>
          <t>11:05:01</t>
        </is>
      </c>
      <c r="D4" t="inlineStr">
        <is>
          <t>11:29:00</t>
        </is>
      </c>
      <c r="E4" t="n">
        <v>105.9</v>
      </c>
      <c r="F4" t="n">
        <v>104.66</v>
      </c>
      <c r="G4" t="n">
        <v>97387.08</v>
      </c>
      <c r="H4" t="n">
        <v>100000</v>
      </c>
      <c r="I4" t="n">
        <v>70000</v>
      </c>
      <c r="J4" t="inlineStr">
        <is>
          <t>EXECUTED</t>
        </is>
      </c>
      <c r="K4" t="n">
        <v>8.17</v>
      </c>
      <c r="L4" t="n">
        <v>-4.49</v>
      </c>
      <c r="M4">
        <f>HYPERLINK("../../data_st50/DEC09_DYNAMIC/DEC03/OTM/NIFTY25D0925900PE_strategy.html", "View")</f>
        <v/>
      </c>
      <c r="N4" t="inlineStr"/>
      <c r="O4" t="inlineStr"/>
      <c r="P4" t="inlineStr">
        <is>
          <t>BULLISH</t>
        </is>
      </c>
      <c r="Q4" t="inlineStr">
        <is>
          <t>INCLUDED (HYBRID_NEUTRAL_ZONE)</t>
        </is>
      </c>
      <c r="R4" t="n">
        <v>-1.17</v>
      </c>
      <c r="S4" t="inlineStr">
        <is>
          <t>SuperTrend Stop Loss Exit</t>
        </is>
      </c>
      <c r="T4" t="n">
        <v>0.527</v>
      </c>
      <c r="U4" t="n">
        <v>0.7818000000000001</v>
      </c>
      <c r="V4" t="inlineStr">
        <is>
          <t>2025-12-03</t>
        </is>
      </c>
      <c r="W4" t="inlineStr">
        <is>
          <t>Below S1</t>
        </is>
      </c>
      <c r="X4" t="n">
        <v>25907.75</v>
      </c>
      <c r="Y4" t="n">
        <v>26125.25</v>
      </c>
      <c r="Z4" t="n">
        <v>25968.5</v>
      </c>
      <c r="AA4" t="n">
        <v>26218.3</v>
      </c>
      <c r="AB4" t="n">
        <v>25904.8</v>
      </c>
      <c r="AC4" t="n">
        <v>26282</v>
      </c>
      <c r="AD4" t="n">
        <v>25811.75</v>
      </c>
    </row>
    <row r="5">
      <c r="A5">
        <f>HYPERLINK("../../data_st50/DEC09_DYNAMIC/DEC03/OTM/NIFTY25D0925900PE_strategy.csv", "NIFTY25D0925900PE")</f>
        <v/>
      </c>
      <c r="B5" t="inlineStr">
        <is>
          <t>PE</t>
        </is>
      </c>
      <c r="C5" t="inlineStr">
        <is>
          <t>10:30:01</t>
        </is>
      </c>
      <c r="D5" t="inlineStr">
        <is>
          <t>10:54:00</t>
        </is>
      </c>
      <c r="E5" t="n">
        <v>105.85</v>
      </c>
      <c r="F5" t="n">
        <v>104.3</v>
      </c>
      <c r="G5" t="n">
        <v>98540</v>
      </c>
      <c r="H5" t="n">
        <v>100000</v>
      </c>
      <c r="I5" t="n">
        <v>70000</v>
      </c>
      <c r="J5" t="inlineStr">
        <is>
          <t>EXECUTED</t>
        </is>
      </c>
      <c r="K5" t="n">
        <v>8.550000000000001</v>
      </c>
      <c r="L5" t="n">
        <v>-6.42</v>
      </c>
      <c r="M5">
        <f>HYPERLINK("../../data_st50/DEC09_DYNAMIC/DEC03/OTM/NIFTY25D0925900PE_strategy.html", "View")</f>
        <v/>
      </c>
      <c r="N5" t="inlineStr"/>
      <c r="O5" t="inlineStr"/>
      <c r="P5" t="inlineStr">
        <is>
          <t>BEARISH</t>
        </is>
      </c>
      <c r="Q5" t="inlineStr">
        <is>
          <t>INCLUDED (HYBRID_NEUTRAL_ZONE)</t>
        </is>
      </c>
      <c r="R5" t="n">
        <v>-1.46</v>
      </c>
      <c r="S5" t="inlineStr">
        <is>
          <t>Dynamic Trailing MA (Fast/Slow MA)</t>
        </is>
      </c>
      <c r="T5" t="n">
        <v>0.4724</v>
      </c>
      <c r="U5" t="n">
        <v>0.7763</v>
      </c>
      <c r="V5" t="inlineStr">
        <is>
          <t>2025-12-03</t>
        </is>
      </c>
      <c r="W5" t="inlineStr">
        <is>
          <t>Below S1</t>
        </is>
      </c>
      <c r="X5" t="n">
        <v>25922.95</v>
      </c>
      <c r="Y5" t="n">
        <v>26125.25</v>
      </c>
      <c r="Z5" t="n">
        <v>25968.5</v>
      </c>
      <c r="AA5" t="n">
        <v>26218.3</v>
      </c>
      <c r="AB5" t="n">
        <v>25904.8</v>
      </c>
      <c r="AC5" t="n">
        <v>26282</v>
      </c>
      <c r="AD5" t="n">
        <v>25811.75</v>
      </c>
    </row>
    <row r="6">
      <c r="A6">
        <f>HYPERLINK("../../data_st50/DEC16_DYNAMIC/DEC15/OTM/NIFTY25D1625950PE_strategy.csv", "NIFTY25D1625950PE")</f>
        <v/>
      </c>
      <c r="B6" t="inlineStr">
        <is>
          <t>PE</t>
        </is>
      </c>
      <c r="C6" t="inlineStr">
        <is>
          <t>10:37:01</t>
        </is>
      </c>
      <c r="D6" t="inlineStr">
        <is>
          <t>10:45:00</t>
        </is>
      </c>
      <c r="E6" t="n">
        <v>63.7</v>
      </c>
      <c r="F6" t="n">
        <v>57.96</v>
      </c>
      <c r="G6" t="n">
        <v>100205.65</v>
      </c>
      <c r="H6" t="n">
        <v>110128.2</v>
      </c>
      <c r="I6" t="n">
        <v>77089.74000000001</v>
      </c>
      <c r="J6" t="inlineStr">
        <is>
          <t>EXECUTED</t>
        </is>
      </c>
      <c r="K6" t="n">
        <v>12.87</v>
      </c>
      <c r="L6" t="n">
        <v>-13.42</v>
      </c>
      <c r="M6">
        <f>HYPERLINK("../../data_st50/DEC16_DYNAMIC/DEC15/OTM/NIFTY25D1625950PE_strategy.html", "View")</f>
        <v/>
      </c>
      <c r="N6" t="inlineStr"/>
      <c r="O6" t="inlineStr"/>
      <c r="P6" t="inlineStr">
        <is>
          <t>NEUTRAL</t>
        </is>
      </c>
      <c r="Q6" t="inlineStr">
        <is>
          <t>INCLUDED</t>
        </is>
      </c>
      <c r="R6" t="n">
        <v>-9.01</v>
      </c>
      <c r="S6" t="inlineStr">
        <is>
          <t>SuperTrend Stop Loss Exit</t>
        </is>
      </c>
      <c r="T6" t="n">
        <v>0.5813</v>
      </c>
      <c r="U6" t="n">
        <v>0.5222</v>
      </c>
      <c r="V6" t="inlineStr">
        <is>
          <t>2025-12-15</t>
        </is>
      </c>
      <c r="W6" t="inlineStr">
        <is>
          <t>Below S1</t>
        </is>
      </c>
      <c r="X6" t="n">
        <v>25958.4</v>
      </c>
      <c r="Y6" t="n">
        <v>26090.22</v>
      </c>
      <c r="Z6" t="n">
        <v>25971.07</v>
      </c>
      <c r="AA6" t="n">
        <v>26133.48</v>
      </c>
      <c r="AB6" t="n">
        <v>25895.18</v>
      </c>
      <c r="AC6" t="n">
        <v>26209.37</v>
      </c>
      <c r="AD6" t="n">
        <v>25851.92</v>
      </c>
    </row>
    <row r="7">
      <c r="A7">
        <f>HYPERLINK("../../data_st50/DEC16_DYNAMIC/DEC15/OTM/NIFTY25D1625950PE_strategy.csv", "NIFTY25D1625950PE")</f>
        <v/>
      </c>
      <c r="B7" t="inlineStr">
        <is>
          <t>PE</t>
        </is>
      </c>
      <c r="C7" t="inlineStr">
        <is>
          <t>10:11:01</t>
        </is>
      </c>
      <c r="D7" t="inlineStr">
        <is>
          <t>10:13:00</t>
        </is>
      </c>
      <c r="E7" t="n">
        <v>73.2</v>
      </c>
      <c r="F7" t="n">
        <v>66.61</v>
      </c>
      <c r="G7" t="n">
        <v>91000</v>
      </c>
      <c r="H7" t="n">
        <v>100000</v>
      </c>
      <c r="I7" t="n">
        <v>70000</v>
      </c>
      <c r="J7" t="inlineStr">
        <is>
          <t>EXECUTED</t>
        </is>
      </c>
      <c r="K7" t="n">
        <v>2.6</v>
      </c>
      <c r="L7" t="n">
        <v>-10.25</v>
      </c>
      <c r="M7">
        <f>HYPERLINK("../../data_st50/DEC16_DYNAMIC/DEC15/OTM/NIFTY25D1625950PE_strategy.html", "View")</f>
        <v/>
      </c>
      <c r="N7" t="inlineStr"/>
      <c r="O7" t="inlineStr"/>
      <c r="P7" t="inlineStr">
        <is>
          <t>BEARISH</t>
        </is>
      </c>
      <c r="Q7" t="inlineStr">
        <is>
          <t>INCLUDED (HYBRID_NEUTRAL_ZONE)</t>
        </is>
      </c>
      <c r="R7" t="n">
        <v>-9</v>
      </c>
      <c r="S7" t="inlineStr">
        <is>
          <t>Fixed Stop Loss</t>
        </is>
      </c>
      <c r="T7" t="n">
        <v>0.4981</v>
      </c>
      <c r="U7" t="inlineStr"/>
      <c r="V7" t="inlineStr">
        <is>
          <t>2025-12-15</t>
        </is>
      </c>
      <c r="W7" t="inlineStr">
        <is>
          <t>Below S1</t>
        </is>
      </c>
      <c r="X7" t="n">
        <v>25944.4</v>
      </c>
      <c r="Y7" t="n">
        <v>26090.22</v>
      </c>
      <c r="Z7" t="n">
        <v>25971.07</v>
      </c>
      <c r="AA7" t="n">
        <v>26133.48</v>
      </c>
      <c r="AB7" t="n">
        <v>25895.18</v>
      </c>
      <c r="AC7" t="n">
        <v>26209.37</v>
      </c>
      <c r="AD7" t="n">
        <v>25851.92</v>
      </c>
    </row>
    <row r="8">
      <c r="A8">
        <f>HYPERLINK("../../data_st50/DEC16_DYNAMIC/DEC15/OTM/NIFTY25D1625950CE_strategy.csv", "NIFTY25D1625950CE")</f>
        <v/>
      </c>
      <c r="B8" t="inlineStr">
        <is>
          <t>CE</t>
        </is>
      </c>
      <c r="C8" t="inlineStr">
        <is>
          <t>09:47:01</t>
        </is>
      </c>
      <c r="D8" t="inlineStr">
        <is>
          <t>10:18:00</t>
        </is>
      </c>
      <c r="E8" t="n">
        <v>64.45</v>
      </c>
      <c r="F8" t="n">
        <v>78</v>
      </c>
      <c r="G8" t="n">
        <v>110128.2</v>
      </c>
      <c r="H8" t="n">
        <v>110128.2</v>
      </c>
      <c r="I8" t="n">
        <v>77089.74000000001</v>
      </c>
      <c r="J8" t="inlineStr">
        <is>
          <t>EXECUTED</t>
        </is>
      </c>
      <c r="K8" t="n">
        <v>28.01</v>
      </c>
      <c r="L8" t="n">
        <v>-12.34</v>
      </c>
      <c r="M8">
        <f>HYPERLINK("../../data_st50/DEC16_DYNAMIC/DEC15/OTM/NIFTY25D1625950CE_strategy.html", "View")</f>
        <v/>
      </c>
      <c r="N8" t="inlineStr"/>
      <c r="O8" t="inlineStr"/>
      <c r="P8" t="inlineStr">
        <is>
          <t>BULLISH</t>
        </is>
      </c>
      <c r="Q8" t="inlineStr">
        <is>
          <t>INCLUDED (HYBRID_NEUTRAL_ZONE)</t>
        </is>
      </c>
      <c r="R8" t="n">
        <v>21.02</v>
      </c>
      <c r="S8" t="inlineStr">
        <is>
          <t>Dynamic Trailing MA (Fast/Slow MA)</t>
        </is>
      </c>
      <c r="T8" t="n">
        <v>0.4812</v>
      </c>
      <c r="U8" t="n">
        <v>0.5935</v>
      </c>
      <c r="V8" t="inlineStr">
        <is>
          <t>2025-12-15</t>
        </is>
      </c>
      <c r="W8" t="inlineStr">
        <is>
          <t>Below S1</t>
        </is>
      </c>
      <c r="X8" t="n">
        <v>25934.7</v>
      </c>
      <c r="Y8" t="n">
        <v>26090.22</v>
      </c>
      <c r="Z8" t="n">
        <v>25971.07</v>
      </c>
      <c r="AA8" t="n">
        <v>26133.48</v>
      </c>
      <c r="AB8" t="n">
        <v>25895.18</v>
      </c>
      <c r="AC8" t="n">
        <v>26209.37</v>
      </c>
      <c r="AD8" t="n">
        <v>25851.92</v>
      </c>
    </row>
    <row r="9">
      <c r="A9">
        <f>HYPERLINK("../../data_st50/JAN13_DYNAMIC/JAN07/OTM/NIFTY2611326100PE_strategy.csv", "NIFTY2611326100PE")</f>
        <v/>
      </c>
      <c r="B9" t="inlineStr">
        <is>
          <t>PE</t>
        </is>
      </c>
      <c r="C9" t="inlineStr">
        <is>
          <t>13:13:01</t>
        </is>
      </c>
      <c r="D9" t="inlineStr">
        <is>
          <t>13:44:00</t>
        </is>
      </c>
      <c r="E9" t="n">
        <v>78.65000000000001</v>
      </c>
      <c r="F9" t="n">
        <v>90.09999999999999</v>
      </c>
      <c r="G9" t="n">
        <v>190288.34</v>
      </c>
      <c r="H9" t="n">
        <v>190288.34</v>
      </c>
      <c r="I9" t="n">
        <v>133201.84</v>
      </c>
      <c r="J9" t="inlineStr">
        <is>
          <t>EXECUTED</t>
        </is>
      </c>
      <c r="K9" t="n">
        <v>17.74</v>
      </c>
      <c r="L9" t="n">
        <v>-5.72</v>
      </c>
      <c r="M9">
        <f>HYPERLINK("../../data_st50/JAN13_DYNAMIC/JAN07/OTM/NIFTY2611326100PE_strategy.html", "View")</f>
        <v/>
      </c>
      <c r="N9" t="inlineStr"/>
      <c r="O9" t="inlineStr"/>
      <c r="P9" t="inlineStr">
        <is>
          <t>NEUTRAL</t>
        </is>
      </c>
      <c r="Q9" t="inlineStr">
        <is>
          <t>INCLUDED</t>
        </is>
      </c>
      <c r="R9" t="n">
        <v>14.56</v>
      </c>
      <c r="S9" t="inlineStr">
        <is>
          <t>Dynamic Trailing MA (Fast/Slow MA)</t>
        </is>
      </c>
      <c r="T9" t="n">
        <v>0.2743</v>
      </c>
      <c r="U9" t="n">
        <v>0.6453</v>
      </c>
      <c r="V9" t="inlineStr">
        <is>
          <t>2026-01-07</t>
        </is>
      </c>
      <c r="W9" t="inlineStr">
        <is>
          <t>Below S1</t>
        </is>
      </c>
      <c r="X9" t="n">
        <v>26108.06</v>
      </c>
      <c r="Y9" t="n">
        <v>26260.18</v>
      </c>
      <c r="Z9" t="n">
        <v>26110.98</v>
      </c>
      <c r="AA9" t="n">
        <v>26341.67</v>
      </c>
      <c r="AB9" t="n">
        <v>26043.27</v>
      </c>
      <c r="AC9" t="n">
        <v>26409.38</v>
      </c>
      <c r="AD9" t="n">
        <v>25961.78</v>
      </c>
    </row>
    <row r="10">
      <c r="A10">
        <f>HYPERLINK("../../data_st50/JAN13_DYNAMIC/JAN07/OTM/NIFTY2611326100CE_strategy.csv", "NIFTY2611326100CE")</f>
        <v/>
      </c>
      <c r="B10" t="inlineStr">
        <is>
          <t>CE</t>
        </is>
      </c>
      <c r="C10" t="inlineStr">
        <is>
          <t>12:55:01</t>
        </is>
      </c>
      <c r="D10" t="inlineStr">
        <is>
          <t>13:21:00</t>
        </is>
      </c>
      <c r="E10" t="n">
        <v>112.5</v>
      </c>
      <c r="F10" t="n">
        <v>116.45</v>
      </c>
      <c r="G10" t="n">
        <v>166103.65</v>
      </c>
      <c r="H10" t="n">
        <v>172753.91</v>
      </c>
      <c r="I10" t="n">
        <v>120927.74</v>
      </c>
      <c r="J10" t="inlineStr">
        <is>
          <t>EXECUTED</t>
        </is>
      </c>
      <c r="K10" t="n">
        <v>11.69</v>
      </c>
      <c r="L10" t="n">
        <v>-2.84</v>
      </c>
      <c r="M10">
        <f>HYPERLINK("../../data_st50/JAN13_DYNAMIC/JAN07/OTM/NIFTY2611326100CE_strategy.html", "View")</f>
        <v/>
      </c>
      <c r="N10" t="inlineStr"/>
      <c r="O10" t="inlineStr"/>
      <c r="P10" t="inlineStr">
        <is>
          <t>BULLISH</t>
        </is>
      </c>
      <c r="Q10" t="inlineStr">
        <is>
          <t>INCLUDED (HYBRID_NEUTRAL_ZONE)</t>
        </is>
      </c>
      <c r="R10" t="n">
        <v>3.51</v>
      </c>
      <c r="S10" t="inlineStr">
        <is>
          <t>Dynamic Trailing MA (Fast/Slow MA)</t>
        </is>
      </c>
      <c r="T10" t="n">
        <v>0.2138</v>
      </c>
      <c r="U10" t="n">
        <v>0.927</v>
      </c>
      <c r="V10" t="inlineStr">
        <is>
          <t>2026-01-07</t>
        </is>
      </c>
      <c r="W10" t="inlineStr">
        <is>
          <t>Below S1</t>
        </is>
      </c>
      <c r="X10" t="n">
        <v>26088.85</v>
      </c>
      <c r="Y10" t="n">
        <v>26260.18</v>
      </c>
      <c r="Z10" t="n">
        <v>26110.98</v>
      </c>
      <c r="AA10" t="n">
        <v>26341.67</v>
      </c>
      <c r="AB10" t="n">
        <v>26043.27</v>
      </c>
      <c r="AC10" t="n">
        <v>26409.38</v>
      </c>
      <c r="AD10" t="n">
        <v>25961.78</v>
      </c>
    </row>
    <row r="11">
      <c r="A11">
        <f>HYPERLINK("../../data_st50/JAN13_DYNAMIC/JAN07/OTM/NIFTY2611326150CE_strategy.csv", "NIFTY2611326150CE")</f>
        <v/>
      </c>
      <c r="B11" t="inlineStr">
        <is>
          <t>CE</t>
        </is>
      </c>
      <c r="C11" t="inlineStr">
        <is>
          <t>12:40:01</t>
        </is>
      </c>
      <c r="D11" t="inlineStr">
        <is>
          <t>12:42:00</t>
        </is>
      </c>
      <c r="E11" t="n">
        <v>98.65000000000001</v>
      </c>
      <c r="F11" t="n">
        <v>91.64</v>
      </c>
      <c r="G11" t="n">
        <v>160471.11</v>
      </c>
      <c r="H11" t="n">
        <v>172753.91</v>
      </c>
      <c r="I11" t="n">
        <v>120927.74</v>
      </c>
      <c r="J11" t="inlineStr">
        <is>
          <t>EXECUTED</t>
        </is>
      </c>
      <c r="K11" t="n">
        <v>0</v>
      </c>
      <c r="L11" t="n">
        <v>-5.58</v>
      </c>
      <c r="M11">
        <f>HYPERLINK("../../data_st50/JAN13_DYNAMIC/JAN07/OTM/NIFTY2611326150CE_strategy.html", "View")</f>
        <v/>
      </c>
      <c r="N11" t="inlineStr"/>
      <c r="O11" t="inlineStr"/>
      <c r="P11" t="inlineStr">
        <is>
          <t>NEUTRAL</t>
        </is>
      </c>
      <c r="Q11" t="inlineStr">
        <is>
          <t>INCLUDED</t>
        </is>
      </c>
      <c r="R11" t="n">
        <v>-7.11</v>
      </c>
      <c r="S11" t="inlineStr">
        <is>
          <t>Fixed Stop Loss</t>
        </is>
      </c>
      <c r="T11" t="n">
        <v>0.3032</v>
      </c>
      <c r="U11" t="inlineStr"/>
      <c r="V11" t="inlineStr">
        <is>
          <t>2026-01-07</t>
        </is>
      </c>
      <c r="W11" t="inlineStr">
        <is>
          <t>Below S1</t>
        </is>
      </c>
      <c r="X11" t="n">
        <v>26105.4</v>
      </c>
      <c r="Y11" t="n">
        <v>26260.18</v>
      </c>
      <c r="Z11" t="n">
        <v>26110.98</v>
      </c>
      <c r="AA11" t="n">
        <v>26341.67</v>
      </c>
      <c r="AB11" t="n">
        <v>26043.27</v>
      </c>
      <c r="AC11" t="n">
        <v>26409.38</v>
      </c>
      <c r="AD11" t="n">
        <v>25961.78</v>
      </c>
    </row>
    <row r="12">
      <c r="A12">
        <f>HYPERLINK("../../data_st50/JAN13_DYNAMIC/JAN08/OTM/NIFTY2611326050CE_strategy.csv", "NIFTY2611326050CE")</f>
        <v/>
      </c>
      <c r="B12" t="inlineStr">
        <is>
          <t>CE</t>
        </is>
      </c>
      <c r="C12" t="inlineStr">
        <is>
          <t>10:56:01</t>
        </is>
      </c>
      <c r="D12" t="inlineStr">
        <is>
          <t>11:02:00</t>
        </is>
      </c>
      <c r="E12" t="n">
        <v>92.45</v>
      </c>
      <c r="F12" t="n">
        <v>87.31</v>
      </c>
      <c r="G12" t="n">
        <v>82794.98</v>
      </c>
      <c r="H12" t="n">
        <v>100000</v>
      </c>
      <c r="I12" t="n">
        <v>70000</v>
      </c>
      <c r="J12" t="inlineStr">
        <is>
          <t>EXECUTED</t>
        </is>
      </c>
      <c r="K12" t="n">
        <v>2.76</v>
      </c>
      <c r="L12" t="n">
        <v>-4.27</v>
      </c>
      <c r="M12">
        <f>HYPERLINK("../../data_st50/JAN13_DYNAMIC/JAN08/OTM/NIFTY2611326050CE_strategy.html", "View")</f>
        <v/>
      </c>
      <c r="N12" t="inlineStr"/>
      <c r="O12" t="inlineStr"/>
      <c r="P12" t="inlineStr">
        <is>
          <t>NEUTRAL</t>
        </is>
      </c>
      <c r="Q12" t="inlineStr">
        <is>
          <t>INCLUDED</t>
        </is>
      </c>
      <c r="R12" t="n">
        <v>-5.56</v>
      </c>
      <c r="S12" t="inlineStr">
        <is>
          <t>Fixed Stop Loss</t>
        </is>
      </c>
      <c r="T12" t="n">
        <v>0.3183</v>
      </c>
      <c r="U12" t="inlineStr"/>
      <c r="V12" t="inlineStr">
        <is>
          <t>2026-01-08</t>
        </is>
      </c>
      <c r="W12" t="inlineStr">
        <is>
          <t>Below S1</t>
        </is>
      </c>
      <c r="X12" t="n">
        <v>26021.11</v>
      </c>
      <c r="Y12" t="n">
        <v>26195.97</v>
      </c>
      <c r="Z12" t="n">
        <v>26076.72</v>
      </c>
      <c r="AA12" t="n">
        <v>26251.18</v>
      </c>
      <c r="AB12" t="n">
        <v>26012.68</v>
      </c>
      <c r="AC12" t="n">
        <v>26315.22</v>
      </c>
      <c r="AD12" t="n">
        <v>25957.47</v>
      </c>
    </row>
    <row r="13">
      <c r="A13">
        <f>HYPERLINK("../../data_st50/JAN13_DYNAMIC/JAN08/OTM/NIFTY2611326050CE_strategy.csv", "NIFTY2611326050CE")</f>
        <v/>
      </c>
      <c r="B13" t="inlineStr">
        <is>
          <t>CE</t>
        </is>
      </c>
      <c r="C13" t="inlineStr">
        <is>
          <t>10:35:01</t>
        </is>
      </c>
      <c r="D13" t="inlineStr">
        <is>
          <t>10:52:00</t>
        </is>
      </c>
      <c r="E13" t="n">
        <v>100.15</v>
      </c>
      <c r="F13" t="n">
        <v>91.14</v>
      </c>
      <c r="G13" t="n">
        <v>87669.39999999999</v>
      </c>
      <c r="H13" t="n">
        <v>100000</v>
      </c>
      <c r="I13" t="n">
        <v>70000</v>
      </c>
      <c r="J13" t="inlineStr">
        <is>
          <t>EXECUTED</t>
        </is>
      </c>
      <c r="K13" t="n">
        <v>1.15</v>
      </c>
      <c r="L13" t="n">
        <v>-6.29</v>
      </c>
      <c r="M13">
        <f>HYPERLINK("../../data_st50/JAN13_DYNAMIC/JAN08/OTM/NIFTY2611326050CE_strategy.html", "View")</f>
        <v/>
      </c>
      <c r="N13" t="inlineStr"/>
      <c r="O13" t="inlineStr"/>
      <c r="P13" t="inlineStr">
        <is>
          <t>NEUTRAL</t>
        </is>
      </c>
      <c r="Q13" t="inlineStr">
        <is>
          <t>INCLUDED</t>
        </is>
      </c>
      <c r="R13" t="n">
        <v>-9</v>
      </c>
      <c r="S13" t="inlineStr">
        <is>
          <t>Fixed Stop Loss</t>
        </is>
      </c>
      <c r="T13" t="n">
        <v>0.7531</v>
      </c>
      <c r="U13" t="inlineStr"/>
      <c r="V13" t="inlineStr">
        <is>
          <t>2026-01-08</t>
        </is>
      </c>
      <c r="W13" t="inlineStr">
        <is>
          <t>Below S1</t>
        </is>
      </c>
      <c r="X13" t="n">
        <v>26039.49</v>
      </c>
      <c r="Y13" t="n">
        <v>26195.97</v>
      </c>
      <c r="Z13" t="n">
        <v>26076.72</v>
      </c>
      <c r="AA13" t="n">
        <v>26251.18</v>
      </c>
      <c r="AB13" t="n">
        <v>26012.68</v>
      </c>
      <c r="AC13" t="n">
        <v>26315.22</v>
      </c>
      <c r="AD13" t="n">
        <v>25957.47</v>
      </c>
    </row>
    <row r="14">
      <c r="A14">
        <f>HYPERLINK("../../data_st50/JAN13_DYNAMIC/JAN09/OTM/NIFTY2611325700PE_strategy.csv", "NIFTY2611325700PE")</f>
        <v/>
      </c>
      <c r="B14" t="inlineStr">
        <is>
          <t>PE</t>
        </is>
      </c>
      <c r="C14" t="inlineStr">
        <is>
          <t>13:42:01</t>
        </is>
      </c>
      <c r="D14" t="inlineStr">
        <is>
          <t>14:05:00</t>
        </is>
      </c>
      <c r="E14" t="n">
        <v>74.40000000000001</v>
      </c>
      <c r="F14" t="n">
        <v>84.84999999999999</v>
      </c>
      <c r="G14" t="n">
        <v>108651.36</v>
      </c>
      <c r="H14" t="n">
        <v>108651.36</v>
      </c>
      <c r="I14" t="n">
        <v>76055.95</v>
      </c>
      <c r="J14" t="inlineStr">
        <is>
          <t>EXECUTED</t>
        </is>
      </c>
      <c r="K14" t="n">
        <v>25</v>
      </c>
      <c r="L14" t="n">
        <v>-14.72</v>
      </c>
      <c r="M14">
        <f>HYPERLINK("../../data_st50/JAN13_DYNAMIC/JAN09/OTM/NIFTY2611325700PE_strategy.html", "View")</f>
        <v/>
      </c>
      <c r="N14" t="inlineStr"/>
      <c r="O14" t="inlineStr"/>
      <c r="P14" t="inlineStr">
        <is>
          <t>BEARISH</t>
        </is>
      </c>
      <c r="Q14" t="inlineStr">
        <is>
          <t>INCLUDED (HYBRID_NEUTRAL_ZONE)</t>
        </is>
      </c>
      <c r="R14" t="n">
        <v>14.05</v>
      </c>
      <c r="S14" t="inlineStr">
        <is>
          <t>Dynamic Trailing MA (Fast/Slow MA)</t>
        </is>
      </c>
      <c r="T14" t="n">
        <v>0.5044</v>
      </c>
      <c r="U14" t="n">
        <v>0.5385</v>
      </c>
      <c r="V14" t="inlineStr">
        <is>
          <t>2026-01-09</t>
        </is>
      </c>
      <c r="W14" t="inlineStr">
        <is>
          <t>Below S1</t>
        </is>
      </c>
      <c r="X14" t="n">
        <v>25700.56</v>
      </c>
      <c r="Y14" t="n">
        <v>26053.88</v>
      </c>
      <c r="Z14" t="n">
        <v>25779.13</v>
      </c>
      <c r="AA14" t="n">
        <v>26230.92</v>
      </c>
      <c r="AB14" t="n">
        <v>25681.42</v>
      </c>
      <c r="AC14" t="n">
        <v>26328.63</v>
      </c>
      <c r="AD14" t="n">
        <v>25504.38</v>
      </c>
    </row>
    <row r="15">
      <c r="A15">
        <f>HYPERLINK("../../data_st50/JAN13_DYNAMIC/JAN09/OTM/NIFTY2611325700PE_strategy.csv", "NIFTY2611325700PE")</f>
        <v/>
      </c>
      <c r="B15" t="inlineStr">
        <is>
          <t>PE</t>
        </is>
      </c>
      <c r="C15" t="inlineStr">
        <is>
          <t>13:25:01</t>
        </is>
      </c>
      <c r="D15" t="inlineStr">
        <is>
          <t>13:36:00</t>
        </is>
      </c>
      <c r="E15" t="n">
        <v>77.34999999999999</v>
      </c>
      <c r="F15" t="n">
        <v>70.39</v>
      </c>
      <c r="G15" t="n">
        <v>84937.97</v>
      </c>
      <c r="H15" t="n">
        <v>102569.7</v>
      </c>
      <c r="I15" t="n">
        <v>71798.78999999999</v>
      </c>
      <c r="J15" t="inlineStr">
        <is>
          <t>EXECUTED</t>
        </is>
      </c>
      <c r="K15" t="n">
        <v>9.949999999999999</v>
      </c>
      <c r="L15" t="n">
        <v>-9.949999999999999</v>
      </c>
      <c r="M15">
        <f>HYPERLINK("../../data_st50/JAN13_DYNAMIC/JAN09/OTM/NIFTY2611325700PE_strategy.html", "View")</f>
        <v/>
      </c>
      <c r="N15" t="inlineStr"/>
      <c r="O15" t="inlineStr"/>
      <c r="P15" t="inlineStr">
        <is>
          <t>BULLISH</t>
        </is>
      </c>
      <c r="Q15" t="inlineStr">
        <is>
          <t>INCLUDED (HYBRID_NEUTRAL_ZONE)</t>
        </is>
      </c>
      <c r="R15" t="n">
        <v>-9</v>
      </c>
      <c r="S15" t="inlineStr">
        <is>
          <t>Fixed Stop Loss</t>
        </is>
      </c>
      <c r="T15" t="n">
        <v>0.4348</v>
      </c>
      <c r="U15" t="n">
        <v>0.5009</v>
      </c>
      <c r="V15" t="inlineStr">
        <is>
          <t>2026-01-09</t>
        </is>
      </c>
      <c r="W15" t="inlineStr">
        <is>
          <t>Below S1</t>
        </is>
      </c>
      <c r="X15" t="n">
        <v>25701.9</v>
      </c>
      <c r="Y15" t="n">
        <v>26053.88</v>
      </c>
      <c r="Z15" t="n">
        <v>25779.13</v>
      </c>
      <c r="AA15" t="n">
        <v>26230.92</v>
      </c>
      <c r="AB15" t="n">
        <v>25681.42</v>
      </c>
      <c r="AC15" t="n">
        <v>26328.63</v>
      </c>
      <c r="AD15" t="n">
        <v>25504.38</v>
      </c>
    </row>
    <row r="16">
      <c r="A16">
        <f>HYPERLINK("../../data_st50/JAN13_DYNAMIC/JAN09/OTM/NIFTY2611325700CE_strategy.csv", "NIFTY2611325700CE")</f>
        <v/>
      </c>
      <c r="B16" t="inlineStr">
        <is>
          <t>CE</t>
        </is>
      </c>
      <c r="C16" t="inlineStr">
        <is>
          <t>12:53:01</t>
        </is>
      </c>
      <c r="D16" t="inlineStr">
        <is>
          <t>13:37:00</t>
        </is>
      </c>
      <c r="E16" t="n">
        <v>103.65</v>
      </c>
      <c r="F16" t="n">
        <v>116.25</v>
      </c>
      <c r="G16" t="n">
        <v>95266.42999999999</v>
      </c>
      <c r="H16" t="n">
        <v>102569.7</v>
      </c>
      <c r="I16" t="n">
        <v>71798.78999999999</v>
      </c>
      <c r="J16" t="inlineStr">
        <is>
          <t>EXECUTED</t>
        </is>
      </c>
      <c r="K16" t="n">
        <v>15.68</v>
      </c>
      <c r="L16" t="n">
        <v>-12.11</v>
      </c>
      <c r="M16">
        <f>HYPERLINK("../../data_st50/JAN13_DYNAMIC/JAN09/OTM/NIFTY2611325700CE_strategy.html", "View")</f>
        <v/>
      </c>
      <c r="N16" t="inlineStr"/>
      <c r="O16" t="inlineStr"/>
      <c r="P16" t="inlineStr">
        <is>
          <t>BULLISH</t>
        </is>
      </c>
      <c r="Q16" t="inlineStr">
        <is>
          <t>INCLUDED (HYBRID_NEUTRAL_ZONE)</t>
        </is>
      </c>
      <c r="R16" t="n">
        <v>12.16</v>
      </c>
      <c r="S16" t="inlineStr">
        <is>
          <t>Dynamic Trailing MA (Fast/Slow MA)</t>
        </is>
      </c>
      <c r="T16" t="n">
        <v>0.3102</v>
      </c>
      <c r="U16" t="n">
        <v>0.5973000000000001</v>
      </c>
      <c r="V16" t="inlineStr">
        <is>
          <t>2026-01-09</t>
        </is>
      </c>
      <c r="W16" t="inlineStr">
        <is>
          <t>Below S1</t>
        </is>
      </c>
      <c r="X16" t="n">
        <v>25695.26</v>
      </c>
      <c r="Y16" t="n">
        <v>26053.88</v>
      </c>
      <c r="Z16" t="n">
        <v>25779.13</v>
      </c>
      <c r="AA16" t="n">
        <v>26230.92</v>
      </c>
      <c r="AB16" t="n">
        <v>25681.42</v>
      </c>
      <c r="AC16" t="n">
        <v>26328.63</v>
      </c>
      <c r="AD16" t="n">
        <v>25504.38</v>
      </c>
    </row>
    <row r="17">
      <c r="A17">
        <f>HYPERLINK("../../data_st50/JAN13_DYNAMIC/JAN12/OTM/NIFTY2611325500CE_strategy.csv", "NIFTY2611325500CE")</f>
        <v/>
      </c>
      <c r="B17" t="inlineStr">
        <is>
          <t>CE</t>
        </is>
      </c>
      <c r="C17" t="inlineStr">
        <is>
          <t>11:47:01</t>
        </is>
      </c>
      <c r="D17" t="inlineStr">
        <is>
          <t>13:02:00</t>
        </is>
      </c>
      <c r="E17" t="n">
        <v>77</v>
      </c>
      <c r="F17" t="n">
        <v>218.8</v>
      </c>
      <c r="G17" t="n">
        <v>214134.74</v>
      </c>
      <c r="H17" t="n">
        <v>214134.74</v>
      </c>
      <c r="I17" t="n">
        <v>149894.31</v>
      </c>
      <c r="J17" t="inlineStr">
        <is>
          <t>EXECUTED</t>
        </is>
      </c>
      <c r="K17" t="n">
        <v>130.56</v>
      </c>
      <c r="L17" t="n">
        <v>-8.25</v>
      </c>
      <c r="M17">
        <f>HYPERLINK("../../data_st50/JAN13_DYNAMIC/JAN12/OTM/NIFTY2611325500CE_strategy.html", "View")</f>
        <v/>
      </c>
      <c r="N17" t="inlineStr"/>
      <c r="O17" t="inlineStr"/>
      <c r="P17" t="inlineStr">
        <is>
          <t>NEUTRAL</t>
        </is>
      </c>
      <c r="Q17" t="inlineStr">
        <is>
          <t>INCLUDED</t>
        </is>
      </c>
      <c r="R17" t="n">
        <v>184.16</v>
      </c>
      <c r="S17" t="inlineStr">
        <is>
          <t>SuperTrend Stop Loss Exit</t>
        </is>
      </c>
      <c r="T17" t="n">
        <v>0.5441</v>
      </c>
      <c r="U17" t="n">
        <v>0.7692</v>
      </c>
      <c r="V17" t="inlineStr">
        <is>
          <t>2026-01-12</t>
        </is>
      </c>
      <c r="W17" t="inlineStr">
        <is>
          <t>Below S1</t>
        </is>
      </c>
      <c r="X17" t="n">
        <v>25493.21</v>
      </c>
      <c r="Y17" t="n">
        <v>25874.93</v>
      </c>
      <c r="Z17" t="n">
        <v>25557.33</v>
      </c>
      <c r="AA17" t="n">
        <v>26066.57</v>
      </c>
      <c r="AB17" t="n">
        <v>25431.37</v>
      </c>
      <c r="AC17" t="n">
        <v>26192.53</v>
      </c>
      <c r="AD17" t="n">
        <v>25239.73</v>
      </c>
    </row>
    <row r="18">
      <c r="A18">
        <f>HYPERLINK("../../data_st50/JAN20_DYNAMIC/JAN19/OTM/NIFTY2612025550PE_strategy.csv", "NIFTY2612025550PE")</f>
        <v/>
      </c>
      <c r="B18" t="inlineStr">
        <is>
          <t>PE</t>
        </is>
      </c>
      <c r="C18" t="inlineStr">
        <is>
          <t>13:41:01</t>
        </is>
      </c>
      <c r="D18" t="inlineStr">
        <is>
          <t>13:47:00</t>
        </is>
      </c>
      <c r="E18" t="n">
        <v>69.45</v>
      </c>
      <c r="F18" t="n">
        <v>63.2</v>
      </c>
      <c r="G18" t="n">
        <v>103804.81</v>
      </c>
      <c r="H18" t="n">
        <v>126022.08</v>
      </c>
      <c r="I18" t="n">
        <v>88215.46000000001</v>
      </c>
      <c r="J18" t="inlineStr">
        <is>
          <t>EXECUTED</t>
        </is>
      </c>
      <c r="K18" t="n">
        <v>6.91</v>
      </c>
      <c r="L18" t="n">
        <v>-5.9</v>
      </c>
      <c r="M18">
        <f>HYPERLINK("../../data_st50/JAN20_DYNAMIC/JAN19/OTM/NIFTY2612025550PE_strategy.html", "View")</f>
        <v/>
      </c>
      <c r="N18" t="inlineStr"/>
      <c r="O18" t="inlineStr"/>
      <c r="P18" t="inlineStr">
        <is>
          <t>BULLISH</t>
        </is>
      </c>
      <c r="Q18" t="inlineStr">
        <is>
          <t>INCLUDED (HYBRID_NEUTRAL_ZONE)</t>
        </is>
      </c>
      <c r="R18" t="n">
        <v>-9</v>
      </c>
      <c r="S18" t="inlineStr">
        <is>
          <t>Fixed Stop Loss</t>
        </is>
      </c>
      <c r="T18" t="n">
        <v>0.292</v>
      </c>
      <c r="U18" t="inlineStr"/>
      <c r="V18" t="inlineStr">
        <is>
          <t>2026-01-19</t>
        </is>
      </c>
      <c r="W18" t="inlineStr">
        <is>
          <t>Below S1</t>
        </is>
      </c>
      <c r="X18" t="n">
        <v>25555.94</v>
      </c>
      <c r="Y18" t="n">
        <v>25824.43</v>
      </c>
      <c r="Z18" t="n">
        <v>25613.33</v>
      </c>
      <c r="AA18" t="n">
        <v>25954.52</v>
      </c>
      <c r="AB18" t="n">
        <v>25532.32</v>
      </c>
      <c r="AC18" t="n">
        <v>26035.53</v>
      </c>
      <c r="AD18" t="n">
        <v>25402.23</v>
      </c>
    </row>
    <row r="19">
      <c r="A19">
        <f>HYPERLINK("../../data_st50/JAN20_DYNAMIC/JAN19/OTM/NIFTY2612025550CE_strategy.csv", "NIFTY2612025550CE")</f>
        <v/>
      </c>
      <c r="B19" t="inlineStr">
        <is>
          <t>CE</t>
        </is>
      </c>
      <c r="C19" t="inlineStr">
        <is>
          <t>13:31:01</t>
        </is>
      </c>
      <c r="D19" t="inlineStr">
        <is>
          <t>13:50:00</t>
        </is>
      </c>
      <c r="E19" t="n">
        <v>64.8</v>
      </c>
      <c r="F19" t="n">
        <v>89.5</v>
      </c>
      <c r="G19" t="n">
        <v>143375.2</v>
      </c>
      <c r="H19" t="n">
        <v>143375.2</v>
      </c>
      <c r="I19" t="n">
        <v>100362.64</v>
      </c>
      <c r="J19" t="inlineStr">
        <is>
          <t>EXECUTED</t>
        </is>
      </c>
      <c r="K19" t="n">
        <v>43.44</v>
      </c>
      <c r="L19" t="n">
        <v>-7.79</v>
      </c>
      <c r="M19">
        <f>HYPERLINK("../../data_st50/JAN20_DYNAMIC/JAN19/OTM/NIFTY2612025550CE_strategy.html", "View")</f>
        <v/>
      </c>
      <c r="N19" t="inlineStr"/>
      <c r="O19" t="inlineStr"/>
      <c r="P19" t="inlineStr">
        <is>
          <t>BULLISH</t>
        </is>
      </c>
      <c r="Q19" t="inlineStr">
        <is>
          <t>INCLUDED (HYBRID_NEUTRAL_ZONE)</t>
        </is>
      </c>
      <c r="R19" t="n">
        <v>38.12</v>
      </c>
      <c r="S19" t="inlineStr">
        <is>
          <t>Dynamic Trailing MA (Fast/Slow MA)</t>
        </is>
      </c>
      <c r="T19" t="n">
        <v>0.6634</v>
      </c>
      <c r="U19" t="n">
        <v>0.6894</v>
      </c>
      <c r="V19" t="inlineStr">
        <is>
          <t>2026-01-19</t>
        </is>
      </c>
      <c r="W19" t="inlineStr">
        <is>
          <t>Below S1</t>
        </is>
      </c>
      <c r="X19" t="n">
        <v>25537.71</v>
      </c>
      <c r="Y19" t="n">
        <v>25824.43</v>
      </c>
      <c r="Z19" t="n">
        <v>25613.33</v>
      </c>
      <c r="AA19" t="n">
        <v>25954.52</v>
      </c>
      <c r="AB19" t="n">
        <v>25532.32</v>
      </c>
      <c r="AC19" t="n">
        <v>26035.53</v>
      </c>
      <c r="AD19" t="n">
        <v>25402.23</v>
      </c>
    </row>
    <row r="20">
      <c r="A20">
        <f>HYPERLINK("../../data_st50/JAN20_DYNAMIC/JAN19/OTM/NIFTY2612025550CE_strategy.csv", "NIFTY2612025550CE")</f>
        <v/>
      </c>
      <c r="B20" t="inlineStr">
        <is>
          <t>CE</t>
        </is>
      </c>
      <c r="C20" t="inlineStr">
        <is>
          <t>13:20:01</t>
        </is>
      </c>
      <c r="D20" t="inlineStr">
        <is>
          <t>13:26:00</t>
        </is>
      </c>
      <c r="E20" t="n">
        <v>67.95</v>
      </c>
      <c r="F20" t="n">
        <v>61.83</v>
      </c>
      <c r="G20" t="n">
        <v>114071.22</v>
      </c>
      <c r="H20" t="n">
        <v>126022.08</v>
      </c>
      <c r="I20" t="n">
        <v>88215.46000000001</v>
      </c>
      <c r="J20" t="inlineStr">
        <is>
          <t>EXECUTED</t>
        </is>
      </c>
      <c r="K20" t="n">
        <v>6.4</v>
      </c>
      <c r="L20" t="n">
        <v>-10.96</v>
      </c>
      <c r="M20">
        <f>HYPERLINK("../../data_st50/JAN20_DYNAMIC/JAN19/OTM/NIFTY2612025550CE_strategy.html", "View")</f>
        <v/>
      </c>
      <c r="N20" t="inlineStr"/>
      <c r="O20" t="inlineStr"/>
      <c r="P20" t="inlineStr">
        <is>
          <t>BULLISH</t>
        </is>
      </c>
      <c r="Q20" t="inlineStr">
        <is>
          <t>INCLUDED (HYBRID_NEUTRAL_ZONE)</t>
        </is>
      </c>
      <c r="R20" t="n">
        <v>-9.01</v>
      </c>
      <c r="S20" t="inlineStr">
        <is>
          <t>Fixed Stop Loss</t>
        </is>
      </c>
      <c r="T20" t="n">
        <v>0.4208</v>
      </c>
      <c r="U20" t="inlineStr"/>
      <c r="V20" t="inlineStr">
        <is>
          <t>2026-01-19</t>
        </is>
      </c>
      <c r="W20" t="inlineStr">
        <is>
          <t>Below S1</t>
        </is>
      </c>
      <c r="X20" t="n">
        <v>25539.68</v>
      </c>
      <c r="Y20" t="n">
        <v>25824.43</v>
      </c>
      <c r="Z20" t="n">
        <v>25613.33</v>
      </c>
      <c r="AA20" t="n">
        <v>25954.52</v>
      </c>
      <c r="AB20" t="n">
        <v>25532.32</v>
      </c>
      <c r="AC20" t="n">
        <v>26035.53</v>
      </c>
      <c r="AD20" t="n">
        <v>25402.23</v>
      </c>
    </row>
    <row r="21">
      <c r="A21">
        <f>HYPERLINK("../../data_st50/JAN20_DYNAMIC/JAN19/OTM/NIFTY2612025550PE_strategy.csv", "NIFTY2612025550PE")</f>
        <v/>
      </c>
      <c r="B21" t="inlineStr">
        <is>
          <t>PE</t>
        </is>
      </c>
      <c r="C21" t="inlineStr">
        <is>
          <t>13:11:01</t>
        </is>
      </c>
      <c r="D21" t="inlineStr">
        <is>
          <t>13:25:00</t>
        </is>
      </c>
      <c r="E21" t="n">
        <v>77.5</v>
      </c>
      <c r="F21" t="n">
        <v>77.09999999999999</v>
      </c>
      <c r="G21" t="n">
        <v>125366.77</v>
      </c>
      <c r="H21" t="n">
        <v>126022.08</v>
      </c>
      <c r="I21" t="n">
        <v>88215.46000000001</v>
      </c>
      <c r="J21" t="inlineStr">
        <is>
          <t>EXECUTED</t>
        </is>
      </c>
      <c r="K21" t="n">
        <v>8.32</v>
      </c>
      <c r="L21" t="n">
        <v>-14.45</v>
      </c>
      <c r="M21">
        <f>HYPERLINK("../../data_st50/JAN20_DYNAMIC/JAN19/OTM/NIFTY2612025550PE_strategy.html", "View")</f>
        <v/>
      </c>
      <c r="N21" t="inlineStr"/>
      <c r="O21" t="inlineStr"/>
      <c r="P21" t="inlineStr">
        <is>
          <t>BEARISH</t>
        </is>
      </c>
      <c r="Q21" t="inlineStr">
        <is>
          <t>INCLUDED (HYBRID_NEUTRAL_ZONE)</t>
        </is>
      </c>
      <c r="R21" t="n">
        <v>-0.52</v>
      </c>
      <c r="S21" t="inlineStr">
        <is>
          <t>Dynamic Trailing MA (Fast/Slow MA)</t>
        </is>
      </c>
      <c r="T21" t="n">
        <v>0.6692</v>
      </c>
      <c r="U21" t="n">
        <v>0.6692</v>
      </c>
      <c r="V21" t="inlineStr">
        <is>
          <t>2026-01-19</t>
        </is>
      </c>
      <c r="W21" t="inlineStr">
        <is>
          <t>Below S1</t>
        </is>
      </c>
      <c r="X21" t="n">
        <v>25534.4</v>
      </c>
      <c r="Y21" t="n">
        <v>25824.43</v>
      </c>
      <c r="Z21" t="n">
        <v>25613.33</v>
      </c>
      <c r="AA21" t="n">
        <v>25954.52</v>
      </c>
      <c r="AB21" t="n">
        <v>25532.32</v>
      </c>
      <c r="AC21" t="n">
        <v>26035.53</v>
      </c>
      <c r="AD21" t="n">
        <v>25402.23</v>
      </c>
    </row>
    <row r="22">
      <c r="A22">
        <f>HYPERLINK("../../data_st50/JAN20_DYNAMIC/JAN19/OTM/NIFTY2612025550PE_strategy.csv", "NIFTY2612025550PE")</f>
        <v/>
      </c>
      <c r="B22" t="inlineStr">
        <is>
          <t>PE</t>
        </is>
      </c>
      <c r="C22" t="inlineStr">
        <is>
          <t>11:10:01</t>
        </is>
      </c>
      <c r="D22" t="inlineStr">
        <is>
          <t>11:38:00</t>
        </is>
      </c>
      <c r="E22" t="n">
        <v>78.5</v>
      </c>
      <c r="F22" t="n">
        <v>82.11</v>
      </c>
      <c r="G22" t="n">
        <v>126022.08</v>
      </c>
      <c r="H22" t="n">
        <v>126022.08</v>
      </c>
      <c r="I22" t="n">
        <v>88215.46000000001</v>
      </c>
      <c r="J22" t="inlineStr">
        <is>
          <t>EXECUTED</t>
        </is>
      </c>
      <c r="K22" t="n">
        <v>23.06</v>
      </c>
      <c r="L22" t="n">
        <v>-10.06</v>
      </c>
      <c r="M22">
        <f>HYPERLINK("../../data_st50/JAN20_DYNAMIC/JAN19/OTM/NIFTY2612025550PE_strategy.html", "View")</f>
        <v/>
      </c>
      <c r="N22" t="inlineStr"/>
      <c r="O22" t="inlineStr"/>
      <c r="P22" t="inlineStr">
        <is>
          <t>BULLISH</t>
        </is>
      </c>
      <c r="Q22" t="inlineStr">
        <is>
          <t>INCLUDED (HYBRID_NEUTRAL_ZONE)</t>
        </is>
      </c>
      <c r="R22" t="n">
        <v>4.6</v>
      </c>
      <c r="S22" t="inlineStr">
        <is>
          <t>SuperTrend Stop Loss Exit</t>
        </is>
      </c>
      <c r="T22" t="n">
        <v>0.3979</v>
      </c>
      <c r="U22" t="n">
        <v>0.4431</v>
      </c>
      <c r="V22" t="inlineStr">
        <is>
          <t>2026-01-19</t>
        </is>
      </c>
      <c r="W22" t="inlineStr">
        <is>
          <t>Below S1</t>
        </is>
      </c>
      <c r="X22" t="n">
        <v>25542.62</v>
      </c>
      <c r="Y22" t="n">
        <v>25824.43</v>
      </c>
      <c r="Z22" t="n">
        <v>25613.33</v>
      </c>
      <c r="AA22" t="n">
        <v>25954.52</v>
      </c>
      <c r="AB22" t="n">
        <v>25532.32</v>
      </c>
      <c r="AC22" t="n">
        <v>26035.53</v>
      </c>
      <c r="AD22" t="n">
        <v>25402.23</v>
      </c>
    </row>
    <row r="23">
      <c r="A23">
        <f>HYPERLINK("../../data_st50/JAN20_DYNAMIC/JAN19/OTM/NIFTY2612025550PE_strategy.csv", "NIFTY2612025550PE")</f>
        <v/>
      </c>
      <c r="B23" t="inlineStr">
        <is>
          <t>PE</t>
        </is>
      </c>
      <c r="C23" t="inlineStr">
        <is>
          <t>09:54:01</t>
        </is>
      </c>
      <c r="D23" t="inlineStr">
        <is>
          <t>10:17:00</t>
        </is>
      </c>
      <c r="E23" t="n">
        <v>78.84999999999999</v>
      </c>
      <c r="F23" t="n">
        <v>95</v>
      </c>
      <c r="G23" t="n">
        <v>120480</v>
      </c>
      <c r="H23" t="n">
        <v>120480</v>
      </c>
      <c r="I23" t="n">
        <v>84336</v>
      </c>
      <c r="J23" t="inlineStr">
        <is>
          <t>EXECUTED</t>
        </is>
      </c>
      <c r="K23" t="n">
        <v>38.17</v>
      </c>
      <c r="L23" t="n">
        <v>-13.95</v>
      </c>
      <c r="M23">
        <f>HYPERLINK("../../data_st50/JAN20_DYNAMIC/JAN19/OTM/NIFTY2612025550PE_strategy.html", "View")</f>
        <v/>
      </c>
      <c r="N23" t="inlineStr"/>
      <c r="O23" t="inlineStr"/>
      <c r="P23" t="inlineStr">
        <is>
          <t>BEARISH</t>
        </is>
      </c>
      <c r="Q23" t="inlineStr">
        <is>
          <t>INCLUDED (HYBRID_NEUTRAL_ZONE)</t>
        </is>
      </c>
      <c r="R23" t="n">
        <v>20.48</v>
      </c>
      <c r="S23" t="inlineStr">
        <is>
          <t>Dynamic Trailing MA (Fast/Slow MA)</t>
        </is>
      </c>
      <c r="T23" t="n">
        <v>0.5253</v>
      </c>
      <c r="U23" t="n">
        <v>0.5627</v>
      </c>
      <c r="V23" t="inlineStr">
        <is>
          <t>2026-01-19</t>
        </is>
      </c>
      <c r="W23" t="inlineStr">
        <is>
          <t>Below S1</t>
        </is>
      </c>
      <c r="X23" t="n">
        <v>25553.88</v>
      </c>
      <c r="Y23" t="n">
        <v>25824.43</v>
      </c>
      <c r="Z23" t="n">
        <v>25613.33</v>
      </c>
      <c r="AA23" t="n">
        <v>25954.52</v>
      </c>
      <c r="AB23" t="n">
        <v>25532.32</v>
      </c>
      <c r="AC23" t="n">
        <v>26035.53</v>
      </c>
      <c r="AD23" t="n">
        <v>25402.23</v>
      </c>
    </row>
    <row r="24">
      <c r="A24">
        <f>HYPERLINK("../../data_st50/FEB10_DYNAMIC/FEB06/OTM/NIFTY2621025550CE_strategy.csv", "NIFTY2621025550CE")</f>
        <v/>
      </c>
      <c r="B24" t="inlineStr">
        <is>
          <t>CE</t>
        </is>
      </c>
      <c r="C24" t="inlineStr">
        <is>
          <t>12:58:01</t>
        </is>
      </c>
      <c r="D24" t="inlineStr">
        <is>
          <t>13:33:00</t>
        </is>
      </c>
      <c r="E24" t="n">
        <v>107.85</v>
      </c>
      <c r="F24" t="n">
        <v>102.76</v>
      </c>
      <c r="G24" t="n">
        <v>197182.18</v>
      </c>
      <c r="H24" t="n">
        <v>206950.23</v>
      </c>
      <c r="I24" t="n">
        <v>144865.16</v>
      </c>
      <c r="J24" t="inlineStr">
        <is>
          <t>EXECUTED</t>
        </is>
      </c>
      <c r="K24" t="n">
        <v>9.640000000000001</v>
      </c>
      <c r="L24" t="n">
        <v>-6.26</v>
      </c>
      <c r="M24">
        <f>HYPERLINK("../../data_st50/FEB10_DYNAMIC/FEB06/OTM/NIFTY2621025550CE_strategy.html", "View")</f>
        <v/>
      </c>
      <c r="N24" t="inlineStr"/>
      <c r="O24" t="inlineStr"/>
      <c r="P24" t="inlineStr">
        <is>
          <t>BULLISH</t>
        </is>
      </c>
      <c r="Q24" t="inlineStr">
        <is>
          <t>INCLUDED (HYBRID_NEUTRAL_ZONE)</t>
        </is>
      </c>
      <c r="R24" t="n">
        <v>-4.72</v>
      </c>
      <c r="S24" t="inlineStr">
        <is>
          <t>SuperTrend Stop Loss Exit</t>
        </is>
      </c>
      <c r="T24" t="n">
        <v>0.4647</v>
      </c>
      <c r="U24" t="n">
        <v>0.6146</v>
      </c>
      <c r="V24" t="inlineStr">
        <is>
          <t>2026-02-06</t>
        </is>
      </c>
      <c r="W24" t="inlineStr">
        <is>
          <t>Below S1</t>
        </is>
      </c>
      <c r="X24" t="n">
        <v>25548.08</v>
      </c>
      <c r="Y24" t="n">
        <v>25740.47</v>
      </c>
      <c r="Z24" t="n">
        <v>25562.32</v>
      </c>
      <c r="AA24" t="n">
        <v>25838.13</v>
      </c>
      <c r="AB24" t="n">
        <v>25481.83</v>
      </c>
      <c r="AC24" t="n">
        <v>25918.62</v>
      </c>
      <c r="AD24" t="n">
        <v>25384.17</v>
      </c>
    </row>
    <row r="25">
      <c r="A25">
        <f>HYPERLINK("../../data_st50/FEB10_DYNAMIC/FEB06/OTM/NIFTY2621025550CE_strategy.csv", "NIFTY2621025550CE")</f>
        <v/>
      </c>
      <c r="B25" t="inlineStr">
        <is>
          <t>CE</t>
        </is>
      </c>
      <c r="C25" t="inlineStr">
        <is>
          <t>10:36:01</t>
        </is>
      </c>
      <c r="D25" t="inlineStr">
        <is>
          <t>12:01:00</t>
        </is>
      </c>
      <c r="E25" t="n">
        <v>99.59999999999999</v>
      </c>
      <c r="F25" t="n">
        <v>175.75</v>
      </c>
      <c r="G25" t="n">
        <v>162441.31</v>
      </c>
      <c r="H25" t="n">
        <v>162441.31</v>
      </c>
      <c r="I25" t="n">
        <v>113708.92</v>
      </c>
      <c r="J25" t="inlineStr">
        <is>
          <t>EXECUTED</t>
        </is>
      </c>
      <c r="K25" t="n">
        <v>83.08</v>
      </c>
      <c r="L25" t="n">
        <v>-5.02</v>
      </c>
      <c r="M25">
        <f>HYPERLINK("../../data_st50/FEB10_DYNAMIC/FEB06/OTM/NIFTY2621025550CE_strategy.html", "View")</f>
        <v/>
      </c>
      <c r="N25" t="inlineStr"/>
      <c r="O25" t="inlineStr"/>
      <c r="P25" t="inlineStr">
        <is>
          <t>BEARISH</t>
        </is>
      </c>
      <c r="Q25" t="inlineStr">
        <is>
          <t>INCLUDED (HYBRID_NEUTRAL_ZONE)</t>
        </is>
      </c>
      <c r="R25" t="n">
        <v>76.45999999999999</v>
      </c>
      <c r="S25" t="inlineStr">
        <is>
          <t>Dynamic Trailing MA (Fast/Slow MA)</t>
        </is>
      </c>
      <c r="T25" t="n">
        <v>0.2833</v>
      </c>
      <c r="U25" t="n">
        <v>0.6736</v>
      </c>
      <c r="V25" t="inlineStr">
        <is>
          <t>2026-02-06</t>
        </is>
      </c>
      <c r="W25" t="inlineStr">
        <is>
          <t>Below S1</t>
        </is>
      </c>
      <c r="X25" t="n">
        <v>25514.91</v>
      </c>
      <c r="Y25" t="n">
        <v>25740.47</v>
      </c>
      <c r="Z25" t="n">
        <v>25562.32</v>
      </c>
      <c r="AA25" t="n">
        <v>25838.13</v>
      </c>
      <c r="AB25" t="n">
        <v>25481.83</v>
      </c>
      <c r="AC25" t="n">
        <v>25918.62</v>
      </c>
      <c r="AD25" t="n">
        <v>25384.17</v>
      </c>
    </row>
    <row r="26">
      <c r="A26">
        <f>HYPERLINK("../../data_st50/FEB10_DYNAMIC/FEB06/OTM/NIFTY2621025550PE_strategy.csv", "NIFTY2621025550PE")</f>
        <v/>
      </c>
      <c r="B26" t="inlineStr">
        <is>
          <t>PE</t>
        </is>
      </c>
      <c r="C26" t="inlineStr">
        <is>
          <t>10:26:01</t>
        </is>
      </c>
      <c r="D26" t="inlineStr">
        <is>
          <t>11:00:00</t>
        </is>
      </c>
      <c r="E26" t="n">
        <v>116.3</v>
      </c>
      <c r="F26" t="n">
        <v>117.65</v>
      </c>
      <c r="G26" t="n">
        <v>92055.60000000001</v>
      </c>
      <c r="H26" t="n">
        <v>100000</v>
      </c>
      <c r="I26" t="n">
        <v>70000</v>
      </c>
      <c r="J26" t="inlineStr">
        <is>
          <t>EXECUTED</t>
        </is>
      </c>
      <c r="K26" t="n">
        <v>20.38</v>
      </c>
      <c r="L26" t="n">
        <v>-11.78</v>
      </c>
      <c r="M26">
        <f>HYPERLINK("../../data_st50/FEB10_DYNAMIC/FEB06/OTM/NIFTY2621025550PE_strategy.html", "View")</f>
        <v/>
      </c>
      <c r="N26" t="inlineStr"/>
      <c r="O26" t="inlineStr"/>
      <c r="P26" t="inlineStr">
        <is>
          <t>BULLISH</t>
        </is>
      </c>
      <c r="Q26" t="inlineStr">
        <is>
          <t>INCLUDED (HYBRID_NEUTRAL_ZONE)</t>
        </is>
      </c>
      <c r="R26" t="n">
        <v>1.16</v>
      </c>
      <c r="S26" t="inlineStr">
        <is>
          <t>SuperTrend Stop Loss Exit</t>
        </is>
      </c>
      <c r="T26" t="n">
        <v>0.3805</v>
      </c>
      <c r="U26" t="n">
        <v>0.5733</v>
      </c>
      <c r="V26" t="inlineStr">
        <is>
          <t>2026-02-06</t>
        </is>
      </c>
      <c r="W26" t="inlineStr">
        <is>
          <t>Below S1</t>
        </is>
      </c>
      <c r="X26" t="n">
        <v>25536.35</v>
      </c>
      <c r="Y26" t="n">
        <v>25740.47</v>
      </c>
      <c r="Z26" t="n">
        <v>25562.32</v>
      </c>
      <c r="AA26" t="n">
        <v>25838.13</v>
      </c>
      <c r="AB26" t="n">
        <v>25481.83</v>
      </c>
      <c r="AC26" t="n">
        <v>25918.62</v>
      </c>
      <c r="AD26" t="n">
        <v>25384.17</v>
      </c>
    </row>
    <row r="27">
      <c r="A27">
        <f>HYPERLINK("../../data_st50/FEB10_DYNAMIC/FEB06/OTM/NIFTY2621025600CE_strategy.csv", "NIFTY2621025600CE")</f>
        <v/>
      </c>
      <c r="B27" t="inlineStr">
        <is>
          <t>CE</t>
        </is>
      </c>
      <c r="C27" t="inlineStr">
        <is>
          <t>09:48:01</t>
        </is>
      </c>
      <c r="D27" t="inlineStr">
        <is>
          <t>10:02:00</t>
        </is>
      </c>
      <c r="E27" t="n">
        <v>105.2</v>
      </c>
      <c r="F27" t="n">
        <v>95.73</v>
      </c>
      <c r="G27" t="n">
        <v>91000</v>
      </c>
      <c r="H27" t="n">
        <v>100000</v>
      </c>
      <c r="I27" t="n">
        <v>70000</v>
      </c>
      <c r="J27" t="inlineStr">
        <is>
          <t>EXECUTED</t>
        </is>
      </c>
      <c r="K27" t="n">
        <v>2.47</v>
      </c>
      <c r="L27" t="n">
        <v>-10.5</v>
      </c>
      <c r="M27">
        <f>HYPERLINK("../../data_st50/FEB10_DYNAMIC/FEB06/OTM/NIFTY2621025600CE_strategy.html", "View")</f>
        <v/>
      </c>
      <c r="N27" t="inlineStr"/>
      <c r="O27" t="inlineStr"/>
      <c r="P27" t="inlineStr">
        <is>
          <t>NEUTRAL</t>
        </is>
      </c>
      <c r="Q27" t="inlineStr">
        <is>
          <t>INCLUDED</t>
        </is>
      </c>
      <c r="R27" t="n">
        <v>-9</v>
      </c>
      <c r="S27" t="inlineStr">
        <is>
          <t>Fixed Stop Loss</t>
        </is>
      </c>
      <c r="T27" t="n">
        <v>0.403</v>
      </c>
      <c r="U27" t="inlineStr"/>
      <c r="V27" t="inlineStr">
        <is>
          <t>2026-02-06</t>
        </is>
      </c>
      <c r="W27" t="inlineStr">
        <is>
          <t>Below S1</t>
        </is>
      </c>
      <c r="X27" t="n">
        <v>25562.15</v>
      </c>
      <c r="Y27" t="n">
        <v>25740.47</v>
      </c>
      <c r="Z27" t="n">
        <v>25562.32</v>
      </c>
      <c r="AA27" t="n">
        <v>25838.13</v>
      </c>
      <c r="AB27" t="n">
        <v>25481.83</v>
      </c>
      <c r="AC27" t="n">
        <v>25918.62</v>
      </c>
      <c r="AD27" t="n">
        <v>25384.17</v>
      </c>
    </row>
    <row r="28">
      <c r="A28">
        <f>HYPERLINK("../../data_st50/FEB17_DYNAMIC/FEB12/OTM/NIFTY2621725850PE_strategy.csv", "NIFTY2621725850PE")</f>
        <v/>
      </c>
      <c r="B28" t="inlineStr">
        <is>
          <t>PE</t>
        </is>
      </c>
      <c r="C28" t="inlineStr">
        <is>
          <t>13:31:01</t>
        </is>
      </c>
      <c r="D28" t="inlineStr">
        <is>
          <t>14:14:00</t>
        </is>
      </c>
      <c r="E28" t="n">
        <v>90.90000000000001</v>
      </c>
      <c r="F28" t="n">
        <v>102.15</v>
      </c>
      <c r="G28" t="n">
        <v>109306.34</v>
      </c>
      <c r="H28" t="n">
        <v>109306.34</v>
      </c>
      <c r="I28" t="n">
        <v>76514.44</v>
      </c>
      <c r="J28" t="inlineStr">
        <is>
          <t>EXECUTED</t>
        </is>
      </c>
      <c r="K28" t="n">
        <v>21.01</v>
      </c>
      <c r="L28" t="n">
        <v>-9.9</v>
      </c>
      <c r="M28">
        <f>HYPERLINK("../../data_st50/FEB17_DYNAMIC/FEB12/OTM/NIFTY2621725850PE_strategy.html", "View")</f>
        <v/>
      </c>
      <c r="N28" t="inlineStr"/>
      <c r="O28" t="inlineStr"/>
      <c r="P28" t="inlineStr">
        <is>
          <t>BEARISH</t>
        </is>
      </c>
      <c r="Q28" t="inlineStr">
        <is>
          <t>INCLUDED (HYBRID_NEUTRAL_ZONE)</t>
        </is>
      </c>
      <c r="R28" t="n">
        <v>12.38</v>
      </c>
      <c r="S28" t="inlineStr">
        <is>
          <t>Dynamic Trailing MA (Fast/Slow MA)</t>
        </is>
      </c>
      <c r="T28" t="n">
        <v>0.3901</v>
      </c>
      <c r="U28" t="n">
        <v>0.8152</v>
      </c>
      <c r="V28" t="inlineStr">
        <is>
          <t>2026-02-12</t>
        </is>
      </c>
      <c r="W28" t="inlineStr">
        <is>
          <t>Below S1</t>
        </is>
      </c>
      <c r="X28" t="n">
        <v>25847.94</v>
      </c>
      <c r="Y28" t="n">
        <v>26008.9</v>
      </c>
      <c r="Z28" t="n">
        <v>25899.3</v>
      </c>
      <c r="AA28" t="n">
        <v>26063.95</v>
      </c>
      <c r="AB28" t="n">
        <v>25844.75</v>
      </c>
      <c r="AC28" t="n">
        <v>26118.5</v>
      </c>
      <c r="AD28" t="n">
        <v>25789.7</v>
      </c>
    </row>
    <row r="29">
      <c r="A29">
        <f>HYPERLINK("../../data_st50/FEB17_DYNAMIC/FEB12/OTM/NIFTY2621725850PE_strategy.csv", "NIFTY2621725850PE")</f>
        <v/>
      </c>
      <c r="B29" t="inlineStr">
        <is>
          <t>PE</t>
        </is>
      </c>
      <c r="C29" t="inlineStr">
        <is>
          <t>13:00:01</t>
        </is>
      </c>
      <c r="D29" t="inlineStr">
        <is>
          <t>13:18:00</t>
        </is>
      </c>
      <c r="E29" t="n">
        <v>93.25</v>
      </c>
      <c r="F29" t="n">
        <v>96.45999999999999</v>
      </c>
      <c r="G29" t="n">
        <v>97264.94</v>
      </c>
      <c r="H29" t="n">
        <v>103330</v>
      </c>
      <c r="I29" t="n">
        <v>72331</v>
      </c>
      <c r="J29" t="inlineStr">
        <is>
          <t>EXECUTED</t>
        </is>
      </c>
      <c r="K29" t="n">
        <v>13.03</v>
      </c>
      <c r="L29" t="n">
        <v>-3.06</v>
      </c>
      <c r="M29">
        <f>HYPERLINK("../../data_st50/FEB17_DYNAMIC/FEB12/OTM/NIFTY2621725850PE_strategy.html", "View")</f>
        <v/>
      </c>
      <c r="N29" t="inlineStr"/>
      <c r="O29" t="inlineStr"/>
      <c r="P29" t="inlineStr">
        <is>
          <t>BULLISH</t>
        </is>
      </c>
      <c r="Q29" t="inlineStr">
        <is>
          <t>INCLUDED (HYBRID_NEUTRAL_ZONE)</t>
        </is>
      </c>
      <c r="R29" t="n">
        <v>3.44</v>
      </c>
      <c r="S29" t="inlineStr">
        <is>
          <t>SuperTrend Stop Loss Exit</t>
        </is>
      </c>
      <c r="T29" t="n">
        <v>0.3418</v>
      </c>
      <c r="U29" t="n">
        <v>0.7509</v>
      </c>
      <c r="V29" t="inlineStr">
        <is>
          <t>2026-02-12</t>
        </is>
      </c>
      <c r="W29" t="inlineStr">
        <is>
          <t>Below S1</t>
        </is>
      </c>
      <c r="X29" t="n">
        <v>25855.65</v>
      </c>
      <c r="Y29" t="n">
        <v>26008.9</v>
      </c>
      <c r="Z29" t="n">
        <v>25899.3</v>
      </c>
      <c r="AA29" t="n">
        <v>26063.95</v>
      </c>
      <c r="AB29" t="n">
        <v>25844.75</v>
      </c>
      <c r="AC29" t="n">
        <v>26118.5</v>
      </c>
      <c r="AD29" t="n">
        <v>25789.7</v>
      </c>
    </row>
    <row r="30">
      <c r="A30">
        <f>HYPERLINK("../../data_st50/FEB17_DYNAMIC/FEB12/OTM/NIFTY2621725900CE_strategy.csv", "NIFTY2621725900CE")</f>
        <v/>
      </c>
      <c r="B30" t="inlineStr">
        <is>
          <t>CE</t>
        </is>
      </c>
      <c r="C30" t="inlineStr">
        <is>
          <t>10:46:01</t>
        </is>
      </c>
      <c r="D30" t="inlineStr">
        <is>
          <t>11:18:00</t>
        </is>
      </c>
      <c r="E30" t="n">
        <v>101.5</v>
      </c>
      <c r="F30" t="n">
        <v>92.36</v>
      </c>
      <c r="G30" t="n">
        <v>94030.3</v>
      </c>
      <c r="H30" t="n">
        <v>103330</v>
      </c>
      <c r="I30" t="n">
        <v>72331</v>
      </c>
      <c r="J30" t="inlineStr">
        <is>
          <t>EXECUTED</t>
        </is>
      </c>
      <c r="K30" t="n">
        <v>0</v>
      </c>
      <c r="L30" t="n">
        <v>-3.1</v>
      </c>
      <c r="M30">
        <f>HYPERLINK("../../data_st50/FEB17_DYNAMIC/FEB12/OTM/NIFTY2621725900CE_strategy.html", "View")</f>
        <v/>
      </c>
      <c r="N30" t="inlineStr"/>
      <c r="O30" t="inlineStr"/>
      <c r="P30" t="inlineStr">
        <is>
          <t>BEARISH</t>
        </is>
      </c>
      <c r="Q30" t="inlineStr">
        <is>
          <t>INCLUDED (HYBRID_NEUTRAL_ZONE)</t>
        </is>
      </c>
      <c r="R30" t="n">
        <v>-9</v>
      </c>
      <c r="S30" t="inlineStr">
        <is>
          <t>Fixed Stop Loss</t>
        </is>
      </c>
      <c r="T30" t="n">
        <v>0.2738</v>
      </c>
      <c r="U30" t="inlineStr"/>
      <c r="V30" t="inlineStr">
        <is>
          <t>2026-02-12</t>
        </is>
      </c>
      <c r="W30" t="inlineStr">
        <is>
          <t>Below S1</t>
        </is>
      </c>
      <c r="X30" t="n">
        <v>25862.04</v>
      </c>
      <c r="Y30" t="n">
        <v>26008.9</v>
      </c>
      <c r="Z30" t="n">
        <v>25899.3</v>
      </c>
      <c r="AA30" t="n">
        <v>26063.95</v>
      </c>
      <c r="AB30" t="n">
        <v>25844.75</v>
      </c>
      <c r="AC30" t="n">
        <v>26118.5</v>
      </c>
      <c r="AD30" t="n">
        <v>25789.7</v>
      </c>
    </row>
    <row r="31">
      <c r="A31">
        <f>HYPERLINK("../../data_st50/FEB17_DYNAMIC/FEB12/OTM/NIFTY2621725850PE_strategy.csv", "NIFTY2621725850PE")</f>
        <v/>
      </c>
      <c r="B31" t="inlineStr">
        <is>
          <t>PE</t>
        </is>
      </c>
      <c r="C31" t="inlineStr">
        <is>
          <t>10:26:01</t>
        </is>
      </c>
      <c r="D31" t="inlineStr">
        <is>
          <t>11:03:00</t>
        </is>
      </c>
      <c r="E31" t="n">
        <v>88.5</v>
      </c>
      <c r="F31" t="n">
        <v>91.45</v>
      </c>
      <c r="G31" t="n">
        <v>103330</v>
      </c>
      <c r="H31" t="n">
        <v>103330</v>
      </c>
      <c r="I31" t="n">
        <v>72331</v>
      </c>
      <c r="J31" t="inlineStr">
        <is>
          <t>EXECUTED</t>
        </is>
      </c>
      <c r="K31" t="n">
        <v>10.45</v>
      </c>
      <c r="L31" t="n">
        <v>-6.55</v>
      </c>
      <c r="M31">
        <f>HYPERLINK("../../data_st50/FEB17_DYNAMIC/FEB12/OTM/NIFTY2621725850PE_strategy.html", "View")</f>
        <v/>
      </c>
      <c r="N31" t="inlineStr"/>
      <c r="O31" t="inlineStr"/>
      <c r="P31" t="inlineStr">
        <is>
          <t>BEARISH</t>
        </is>
      </c>
      <c r="Q31" t="inlineStr">
        <is>
          <t>INCLUDED (HYBRID_NEUTRAL_ZONE)</t>
        </is>
      </c>
      <c r="R31" t="n">
        <v>3.33</v>
      </c>
      <c r="S31" t="inlineStr">
        <is>
          <t>Dynamic Trailing MA (Fast/Slow MA)</t>
        </is>
      </c>
      <c r="T31" t="n">
        <v>0.5247000000000001</v>
      </c>
      <c r="U31" t="n">
        <v>0.6998</v>
      </c>
      <c r="V31" t="inlineStr">
        <is>
          <t>2026-02-12</t>
        </is>
      </c>
      <c r="W31" t="inlineStr">
        <is>
          <t>Below S1</t>
        </is>
      </c>
      <c r="X31" t="n">
        <v>25864.04</v>
      </c>
      <c r="Y31" t="n">
        <v>26008.9</v>
      </c>
      <c r="Z31" t="n">
        <v>25899.3</v>
      </c>
      <c r="AA31" t="n">
        <v>26063.95</v>
      </c>
      <c r="AB31" t="n">
        <v>25844.75</v>
      </c>
      <c r="AC31" t="n">
        <v>26118.5</v>
      </c>
      <c r="AD31" t="n">
        <v>25789.7</v>
      </c>
    </row>
    <row r="32">
      <c r="A32">
        <f>HYPERLINK("../../data_st50/MAR02_DYNAMIC/FEB27/OTM/NIFTY2630225300PE_strategy.csv", "NIFTY2630225300PE")</f>
        <v/>
      </c>
      <c r="B32" t="inlineStr">
        <is>
          <t>PE</t>
        </is>
      </c>
      <c r="C32" t="inlineStr">
        <is>
          <t>11:12:01</t>
        </is>
      </c>
      <c r="D32" t="inlineStr">
        <is>
          <t>11:40:00</t>
        </is>
      </c>
      <c r="E32" t="n">
        <v>92.65000000000001</v>
      </c>
      <c r="F32" t="n">
        <v>109.72</v>
      </c>
      <c r="G32" t="n">
        <v>115585.74</v>
      </c>
      <c r="H32" t="n">
        <v>115585.74</v>
      </c>
      <c r="I32" t="n">
        <v>80910.02</v>
      </c>
      <c r="J32" t="inlineStr">
        <is>
          <t>EXECUTED</t>
        </is>
      </c>
      <c r="K32" t="n">
        <v>36.75</v>
      </c>
      <c r="L32" t="n">
        <v>-5.02</v>
      </c>
      <c r="M32">
        <f>HYPERLINK("../../data_st50/MAR02_DYNAMIC/FEB27/OTM/NIFTY2630225300PE_strategy.html", "View")</f>
        <v/>
      </c>
      <c r="N32" t="inlineStr"/>
      <c r="O32" t="inlineStr"/>
      <c r="P32" t="inlineStr">
        <is>
          <t>BULLISH</t>
        </is>
      </c>
      <c r="Q32" t="inlineStr">
        <is>
          <t>INCLUDED (HYBRID_NEUTRAL_ZONE)</t>
        </is>
      </c>
      <c r="R32" t="n">
        <v>18.42</v>
      </c>
      <c r="S32" t="inlineStr">
        <is>
          <t>SuperTrend Stop Loss Exit</t>
        </is>
      </c>
      <c r="T32" t="n">
        <v>0.1299</v>
      </c>
      <c r="U32" t="n">
        <v>0.532</v>
      </c>
      <c r="V32" t="inlineStr">
        <is>
          <t>2026-02-27</t>
        </is>
      </c>
      <c r="W32" t="inlineStr">
        <is>
          <t>Below S1</t>
        </is>
      </c>
      <c r="X32" t="n">
        <v>25328.06</v>
      </c>
      <c r="Y32" t="n">
        <v>25579.35</v>
      </c>
      <c r="Z32" t="n">
        <v>25407.35</v>
      </c>
      <c r="AA32" t="n">
        <v>25662.15</v>
      </c>
      <c r="AB32" t="n">
        <v>25318.15</v>
      </c>
      <c r="AC32" t="n">
        <v>25751.35</v>
      </c>
      <c r="AD32" t="n">
        <v>25235.35</v>
      </c>
    </row>
    <row r="33">
      <c r="A33">
        <f>HYPERLINK("../../data_st50/MAR02_DYNAMIC/FEB27/OTM/NIFTY2630225300PE_strategy.csv", "NIFTY2630225300PE")</f>
        <v/>
      </c>
      <c r="B33" t="inlineStr">
        <is>
          <t>PE</t>
        </is>
      </c>
      <c r="C33" t="inlineStr">
        <is>
          <t>10:41:01</t>
        </is>
      </c>
      <c r="D33" t="inlineStr">
        <is>
          <t>10:46:00</t>
        </is>
      </c>
      <c r="E33" t="n">
        <v>95</v>
      </c>
      <c r="F33" t="n">
        <v>101.9</v>
      </c>
      <c r="G33" t="n">
        <v>97606.60000000001</v>
      </c>
      <c r="H33" t="n">
        <v>100000</v>
      </c>
      <c r="I33" t="n">
        <v>70000</v>
      </c>
      <c r="J33" t="inlineStr">
        <is>
          <t>EXECUTED</t>
        </is>
      </c>
      <c r="K33" t="n">
        <v>8.949999999999999</v>
      </c>
      <c r="L33" t="n">
        <v>-10.26</v>
      </c>
      <c r="M33">
        <f>HYPERLINK("../../data_st50/MAR02_DYNAMIC/FEB27/OTM/NIFTY2630225300PE_strategy.html", "View")</f>
        <v/>
      </c>
      <c r="N33" t="inlineStr"/>
      <c r="O33" t="inlineStr"/>
      <c r="P33" t="inlineStr">
        <is>
          <t>NEUTRAL</t>
        </is>
      </c>
      <c r="Q33" t="inlineStr">
        <is>
          <t>INCLUDED</t>
        </is>
      </c>
      <c r="R33" t="n">
        <v>7.26</v>
      </c>
      <c r="S33" t="inlineStr">
        <is>
          <t>Dynamic Trailing MA (Fast/Slow MA)</t>
        </is>
      </c>
      <c r="T33" t="n">
        <v>0.3994</v>
      </c>
      <c r="U33" t="n">
        <v>0.5338000000000001</v>
      </c>
      <c r="V33" t="inlineStr">
        <is>
          <t>2026-02-27</t>
        </is>
      </c>
      <c r="W33" t="inlineStr">
        <is>
          <t>Below S1</t>
        </is>
      </c>
      <c r="X33" t="n">
        <v>25323.44</v>
      </c>
      <c r="Y33" t="n">
        <v>25579.35</v>
      </c>
      <c r="Z33" t="n">
        <v>25407.35</v>
      </c>
      <c r="AA33" t="n">
        <v>25662.15</v>
      </c>
      <c r="AB33" t="n">
        <v>25318.15</v>
      </c>
      <c r="AC33" t="n">
        <v>25751.35</v>
      </c>
      <c r="AD33" t="n">
        <v>25235.35</v>
      </c>
    </row>
    <row r="34">
      <c r="A34">
        <f>HYPERLINK("../../data_st50/MAR02_DYNAMIC/FEB27/OTM/NIFTY2630225350CE_strategy.csv", "NIFTY2630225350CE")</f>
        <v/>
      </c>
      <c r="B34" t="inlineStr">
        <is>
          <t>CE</t>
        </is>
      </c>
      <c r="C34" t="inlineStr">
        <is>
          <t>10:11:01</t>
        </is>
      </c>
      <c r="D34" t="inlineStr">
        <is>
          <t>10:19:00</t>
        </is>
      </c>
      <c r="E34" t="n">
        <v>101.65</v>
      </c>
      <c r="F34" t="n">
        <v>92.5</v>
      </c>
      <c r="G34" t="n">
        <v>91000</v>
      </c>
      <c r="H34" t="n">
        <v>100000</v>
      </c>
      <c r="I34" t="n">
        <v>70000</v>
      </c>
      <c r="J34" t="inlineStr">
        <is>
          <t>EXECUTED</t>
        </is>
      </c>
      <c r="K34" t="n">
        <v>2.21</v>
      </c>
      <c r="L34" t="n">
        <v>-7.13</v>
      </c>
      <c r="M34">
        <f>HYPERLINK("../../data_st50/MAR02_DYNAMIC/FEB27/OTM/NIFTY2630225350CE_strategy.html", "View")</f>
        <v/>
      </c>
      <c r="N34" t="inlineStr"/>
      <c r="O34" t="inlineStr"/>
      <c r="P34" t="inlineStr">
        <is>
          <t>NEUTRAL</t>
        </is>
      </c>
      <c r="Q34" t="inlineStr">
        <is>
          <t>INCLUDED</t>
        </is>
      </c>
      <c r="R34" t="n">
        <v>-9</v>
      </c>
      <c r="S34" t="inlineStr">
        <is>
          <t>Fixed Stop Loss</t>
        </is>
      </c>
      <c r="T34" t="n">
        <v>0.4461</v>
      </c>
      <c r="U34" t="inlineStr"/>
      <c r="V34" t="inlineStr">
        <is>
          <t>2026-02-27</t>
        </is>
      </c>
      <c r="W34" t="inlineStr">
        <is>
          <t>Below S1</t>
        </is>
      </c>
      <c r="X34" t="n">
        <v>25328.04</v>
      </c>
      <c r="Y34" t="n">
        <v>25579.35</v>
      </c>
      <c r="Z34" t="n">
        <v>25407.35</v>
      </c>
      <c r="AA34" t="n">
        <v>25662.15</v>
      </c>
      <c r="AB34" t="n">
        <v>25318.15</v>
      </c>
      <c r="AC34" t="n">
        <v>25751.35</v>
      </c>
      <c r="AD34" t="n">
        <v>25235.35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option_type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running_capital</t>
        </is>
      </c>
      <c r="H1" s="1" t="inlineStr">
        <is>
          <t>high_water_mark</t>
        </is>
      </c>
      <c r="I1" s="1" t="inlineStr">
        <is>
          <t>drawdown_limit</t>
        </is>
      </c>
      <c r="J1" s="1" t="inlineStr">
        <is>
          <t>trade_status</t>
        </is>
      </c>
      <c r="K1" s="1" t="inlineStr">
        <is>
          <t>high</t>
        </is>
      </c>
      <c r="L1" s="1" t="inlineStr">
        <is>
          <t>swing_low</t>
        </is>
      </c>
      <c r="M1" s="1" t="inlineStr">
        <is>
          <t>symbol_html</t>
        </is>
      </c>
      <c r="N1" s="1" t="inlineStr">
        <is>
          <t>realized_pnl_pct</t>
        </is>
      </c>
      <c r="O1" s="1" t="inlineStr">
        <is>
          <t>trade_status_reason</t>
        </is>
      </c>
      <c r="P1" s="1" t="inlineStr">
        <is>
          <t>market_sentiment</t>
        </is>
      </c>
      <c r="Q1" s="1" t="inlineStr">
        <is>
          <t>filter_status</t>
        </is>
      </c>
      <c r="R1" s="1" t="inlineStr">
        <is>
          <t>sentiment_pnl</t>
        </is>
      </c>
      <c r="S1" s="1" t="inlineStr">
        <is>
          <t>exit_reason</t>
        </is>
      </c>
      <c r="T1" s="1" t="inlineStr">
        <is>
          <t>demarker</t>
        </is>
      </c>
      <c r="U1" s="1" t="inlineStr">
        <is>
          <t>demarker_at_7pct</t>
        </is>
      </c>
      <c r="V1" s="1" t="inlineStr">
        <is>
          <t>date</t>
        </is>
      </c>
      <c r="W1" s="1" t="inlineStr">
        <is>
          <t>zone</t>
        </is>
      </c>
      <c r="X1" s="1" t="inlineStr">
        <is>
          <t>nifty_at_entry</t>
        </is>
      </c>
      <c r="Y1" s="1" t="inlineStr">
        <is>
          <t>R1</t>
        </is>
      </c>
      <c r="Z1" s="1" t="inlineStr">
        <is>
          <t>S1</t>
        </is>
      </c>
      <c r="AA1" s="1" t="inlineStr">
        <is>
          <t>R2</t>
        </is>
      </c>
      <c r="AB1" s="1" t="inlineStr">
        <is>
          <t>S2</t>
        </is>
      </c>
      <c r="AC1" s="1" t="inlineStr">
        <is>
          <t>R3</t>
        </is>
      </c>
      <c r="AD1" s="1" t="inlineStr">
        <is>
          <t>S3</t>
        </is>
      </c>
    </row>
    <row r="2">
      <c r="A2">
        <f>HYPERLINK("../../data_st50/DEC02_DYNAMIC/DEC01/OTM/NIFTY25D0226300CE_strategy.csv", "NIFTY25D0226300CE")</f>
        <v/>
      </c>
      <c r="B2" t="inlineStr">
        <is>
          <t>CE</t>
        </is>
      </c>
      <c r="C2" t="inlineStr">
        <is>
          <t>10:02:01</t>
        </is>
      </c>
      <c r="D2" t="inlineStr">
        <is>
          <t>10:38:00</t>
        </is>
      </c>
      <c r="E2" t="n">
        <v>72.75</v>
      </c>
      <c r="F2" t="n">
        <v>66.2</v>
      </c>
      <c r="G2" t="n">
        <v>88573.58</v>
      </c>
      <c r="H2" t="n">
        <v>100000</v>
      </c>
      <c r="I2" t="n">
        <v>70000</v>
      </c>
      <c r="J2" t="inlineStr">
        <is>
          <t>EXECUTED</t>
        </is>
      </c>
      <c r="K2" t="n">
        <v>7.63</v>
      </c>
      <c r="L2" t="n">
        <v>-8.380000000000001</v>
      </c>
      <c r="M2">
        <f>HYPERLINK("../../data_st50/DEC02_DYNAMIC/DEC01/OTM/NIFTY25D0226300CE_strategy.html", "View")</f>
        <v/>
      </c>
      <c r="N2" t="inlineStr"/>
      <c r="O2" t="inlineStr"/>
      <c r="P2" t="inlineStr">
        <is>
          <t>BULLISH</t>
        </is>
      </c>
      <c r="Q2" t="inlineStr">
        <is>
          <t>INCLUDED (HYBRID_NEUTRAL_ZONE)</t>
        </is>
      </c>
      <c r="R2" t="n">
        <v>-9</v>
      </c>
      <c r="S2" t="inlineStr">
        <is>
          <t>Fixed Stop Loss</t>
        </is>
      </c>
      <c r="T2" t="n">
        <v>0.2358</v>
      </c>
      <c r="U2" t="n">
        <v>0.6626</v>
      </c>
      <c r="V2" t="inlineStr">
        <is>
          <t>2025-12-01</t>
        </is>
      </c>
      <c r="W2" t="inlineStr">
        <is>
          <t>Above R1</t>
        </is>
      </c>
      <c r="X2" t="n">
        <v>26278.3</v>
      </c>
      <c r="Y2" t="n">
        <v>26265</v>
      </c>
      <c r="Z2" t="n">
        <v>26156.65</v>
      </c>
      <c r="AA2" t="n">
        <v>26327.05</v>
      </c>
      <c r="AB2" t="n">
        <v>26110.35</v>
      </c>
      <c r="AC2" t="n">
        <v>26373.35</v>
      </c>
      <c r="AD2" t="n">
        <v>26048.3</v>
      </c>
    </row>
    <row r="3">
      <c r="A3">
        <f>HYPERLINK("../../data_st50/DEC02_DYNAMIC/DEC01/OTM/NIFTY25D0226300CE_strategy.csv", "NIFTY25D0226300CE")</f>
        <v/>
      </c>
      <c r="B3" t="inlineStr">
        <is>
          <t>CE</t>
        </is>
      </c>
      <c r="C3" t="inlineStr">
        <is>
          <t>09:49:01</t>
        </is>
      </c>
      <c r="D3" t="inlineStr">
        <is>
          <t>09:52:00</t>
        </is>
      </c>
      <c r="E3" t="n">
        <v>81.65000000000001</v>
      </c>
      <c r="F3" t="n">
        <v>74.3</v>
      </c>
      <c r="G3" t="n">
        <v>91000</v>
      </c>
      <c r="H3" t="n">
        <v>100000</v>
      </c>
      <c r="I3" t="n">
        <v>70000</v>
      </c>
      <c r="J3" t="inlineStr">
        <is>
          <t>EXECUTED</t>
        </is>
      </c>
      <c r="K3" t="n">
        <v>0.37</v>
      </c>
      <c r="L3" t="n">
        <v>-8.880000000000001</v>
      </c>
      <c r="M3">
        <f>HYPERLINK("../../data_st50/DEC02_DYNAMIC/DEC01/OTM/NIFTY25D0226300CE_strategy.html", "View")</f>
        <v/>
      </c>
      <c r="N3" t="inlineStr"/>
      <c r="O3" t="inlineStr"/>
      <c r="P3" t="inlineStr">
        <is>
          <t>NEUTRAL</t>
        </is>
      </c>
      <c r="Q3" t="inlineStr">
        <is>
          <t>INCLUDED</t>
        </is>
      </c>
      <c r="R3" t="n">
        <v>-9</v>
      </c>
      <c r="S3" t="inlineStr">
        <is>
          <t>Fixed Stop Loss</t>
        </is>
      </c>
      <c r="T3" t="n">
        <v>0.4954</v>
      </c>
      <c r="U3" t="inlineStr"/>
      <c r="V3" t="inlineStr">
        <is>
          <t>2025-12-01</t>
        </is>
      </c>
      <c r="W3" t="inlineStr">
        <is>
          <t>Above R1</t>
        </is>
      </c>
      <c r="X3" t="n">
        <v>26295.8</v>
      </c>
      <c r="Y3" t="n">
        <v>26265</v>
      </c>
      <c r="Z3" t="n">
        <v>26156.65</v>
      </c>
      <c r="AA3" t="n">
        <v>26327.05</v>
      </c>
      <c r="AB3" t="n">
        <v>26110.35</v>
      </c>
      <c r="AC3" t="n">
        <v>26373.35</v>
      </c>
      <c r="AD3" t="n">
        <v>26048.3</v>
      </c>
    </row>
    <row r="4">
      <c r="A4">
        <f>HYPERLINK("../../data_st50/DEC02_DYNAMIC/DEC01/OTM/NIFTY25D0226300PE_strategy.csv", "NIFTY25D0226300PE")</f>
        <v/>
      </c>
      <c r="B4" t="inlineStr">
        <is>
          <t>PE</t>
        </is>
      </c>
      <c r="C4" t="inlineStr">
        <is>
          <t>09:43:01</t>
        </is>
      </c>
      <c r="D4" t="inlineStr">
        <is>
          <t>09:55:00</t>
        </is>
      </c>
      <c r="E4" t="n">
        <v>71.09999999999999</v>
      </c>
      <c r="F4" t="n">
        <v>76.05</v>
      </c>
      <c r="G4" t="n">
        <v>97333.60000000001</v>
      </c>
      <c r="H4" t="n">
        <v>100000</v>
      </c>
      <c r="I4" t="n">
        <v>70000</v>
      </c>
      <c r="J4" t="inlineStr">
        <is>
          <t>EXECUTED</t>
        </is>
      </c>
      <c r="K4" t="n">
        <v>12.24</v>
      </c>
      <c r="L4" t="n">
        <v>-12.1</v>
      </c>
      <c r="M4">
        <f>HYPERLINK("../../data_st50/DEC02_DYNAMIC/DEC01/OTM/NIFTY25D0226300PE_strategy.html", "View")</f>
        <v/>
      </c>
      <c r="N4" t="inlineStr"/>
      <c r="O4" t="inlineStr"/>
      <c r="P4" t="inlineStr">
        <is>
          <t>NEUTRAL</t>
        </is>
      </c>
      <c r="Q4" t="inlineStr">
        <is>
          <t>INCLUDED</t>
        </is>
      </c>
      <c r="R4" t="n">
        <v>6.96</v>
      </c>
      <c r="S4" t="inlineStr">
        <is>
          <t>Dynamic Trailing MA (Fast/Slow MA)</t>
        </is>
      </c>
      <c r="T4" t="n">
        <v>0.6212</v>
      </c>
      <c r="U4" t="n">
        <v>0.6825</v>
      </c>
      <c r="V4" t="inlineStr">
        <is>
          <t>2025-12-01</t>
        </is>
      </c>
      <c r="W4" t="inlineStr">
        <is>
          <t>Above R1</t>
        </is>
      </c>
      <c r="X4" t="n">
        <v>26285.85</v>
      </c>
      <c r="Y4" t="n">
        <v>26265</v>
      </c>
      <c r="Z4" t="n">
        <v>26156.65</v>
      </c>
      <c r="AA4" t="n">
        <v>26327.05</v>
      </c>
      <c r="AB4" t="n">
        <v>26110.35</v>
      </c>
      <c r="AC4" t="n">
        <v>26373.35</v>
      </c>
      <c r="AD4" t="n">
        <v>26048.3</v>
      </c>
    </row>
    <row r="5">
      <c r="A5">
        <f>HYPERLINK("../../data_st50/DEC09_DYNAMIC/DEC04/OTM/NIFTY25D0926050PE_strategy.csv", "NIFTY25D0926050PE")</f>
        <v/>
      </c>
      <c r="B5" t="inlineStr">
        <is>
          <t>PE</t>
        </is>
      </c>
      <c r="C5" t="inlineStr">
        <is>
          <t>11:01:01</t>
        </is>
      </c>
      <c r="D5" t="inlineStr">
        <is>
          <t>12:05:00</t>
        </is>
      </c>
      <c r="E5" t="n">
        <v>84</v>
      </c>
      <c r="F5" t="n">
        <v>99.87</v>
      </c>
      <c r="G5" t="n">
        <v>181001.7</v>
      </c>
      <c r="H5" t="n">
        <v>181001.7</v>
      </c>
      <c r="I5" t="n">
        <v>126701.19</v>
      </c>
      <c r="J5" t="inlineStr">
        <is>
          <t>EXECUTED</t>
        </is>
      </c>
      <c r="K5" t="n">
        <v>38.87</v>
      </c>
      <c r="L5" t="n">
        <v>-7.02</v>
      </c>
      <c r="M5">
        <f>HYPERLINK("../../data_st50/DEC09_DYNAMIC/DEC04/OTM/NIFTY25D0926050PE_strategy.html", "View")</f>
        <v/>
      </c>
      <c r="N5" t="inlineStr"/>
      <c r="O5" t="inlineStr"/>
      <c r="P5" t="inlineStr">
        <is>
          <t>NEUTRAL</t>
        </is>
      </c>
      <c r="Q5" t="inlineStr">
        <is>
          <t>INCLUDED</t>
        </is>
      </c>
      <c r="R5" t="n">
        <v>18.89</v>
      </c>
      <c r="S5" t="inlineStr">
        <is>
          <t>SuperTrend Stop Loss Exit</t>
        </is>
      </c>
      <c r="T5" t="n">
        <v>0.5486</v>
      </c>
      <c r="U5" t="n">
        <v>0.7718</v>
      </c>
      <c r="V5" t="inlineStr">
        <is>
          <t>2025-12-04</t>
        </is>
      </c>
      <c r="W5" t="inlineStr">
        <is>
          <t>Above R1</t>
        </is>
      </c>
      <c r="X5" t="n">
        <v>26079.6</v>
      </c>
      <c r="Y5" t="n">
        <v>26071.3</v>
      </c>
      <c r="Z5" t="n">
        <v>25895.85</v>
      </c>
      <c r="AA5" t="n">
        <v>26156.6</v>
      </c>
      <c r="AB5" t="n">
        <v>25805.7</v>
      </c>
      <c r="AC5" t="n">
        <v>26246.75</v>
      </c>
      <c r="AD5" t="n">
        <v>25720.4</v>
      </c>
    </row>
    <row r="6">
      <c r="A6">
        <f>HYPERLINK("../../data_st50/DEC09_DYNAMIC/DEC05/OTM/NIFTY25D0926150CE_strategy.csv", "NIFTY25D0926150CE")</f>
        <v/>
      </c>
      <c r="B6" t="inlineStr">
        <is>
          <t>CE</t>
        </is>
      </c>
      <c r="C6" t="inlineStr">
        <is>
          <t>11:52:01</t>
        </is>
      </c>
      <c r="D6" t="inlineStr">
        <is>
          <t>13:04:00</t>
        </is>
      </c>
      <c r="E6" t="n">
        <v>93.3</v>
      </c>
      <c r="F6" t="n">
        <v>126.75</v>
      </c>
      <c r="G6" t="n">
        <v>149530.93</v>
      </c>
      <c r="H6" t="n">
        <v>149530.93</v>
      </c>
      <c r="I6" t="n">
        <v>104671.65</v>
      </c>
      <c r="J6" t="inlineStr">
        <is>
          <t>EXECUTED</t>
        </is>
      </c>
      <c r="K6" t="n">
        <v>48.93</v>
      </c>
      <c r="L6" t="n">
        <v>-7.82</v>
      </c>
      <c r="M6">
        <f>HYPERLINK("../../data_st50/DEC09_DYNAMIC/DEC05/OTM/NIFTY25D0926150CE_strategy.html", "View")</f>
        <v/>
      </c>
      <c r="N6" t="inlineStr"/>
      <c r="O6" t="inlineStr"/>
      <c r="P6" t="inlineStr">
        <is>
          <t>NEUTRAL</t>
        </is>
      </c>
      <c r="Q6" t="inlineStr">
        <is>
          <t>INCLUDED</t>
        </is>
      </c>
      <c r="R6" t="n">
        <v>35.85</v>
      </c>
      <c r="S6" t="inlineStr">
        <is>
          <t>Dynamic Trailing MA (Fast/Slow MA)</t>
        </is>
      </c>
      <c r="T6" t="n">
        <v>0.4855</v>
      </c>
      <c r="U6" t="n">
        <v>0.6778</v>
      </c>
      <c r="V6" t="inlineStr">
        <is>
          <t>2025-12-05</t>
        </is>
      </c>
      <c r="W6" t="inlineStr">
        <is>
          <t>Above R1</t>
        </is>
      </c>
      <c r="X6" t="n">
        <v>26140.2</v>
      </c>
      <c r="Y6" t="n">
        <v>26108.35</v>
      </c>
      <c r="Z6" t="n">
        <v>25949.05</v>
      </c>
      <c r="AA6" t="n">
        <v>26182.95</v>
      </c>
      <c r="AB6" t="n">
        <v>25864.35</v>
      </c>
      <c r="AC6" t="n">
        <v>26267.65</v>
      </c>
      <c r="AD6" t="n">
        <v>25789.75</v>
      </c>
    </row>
    <row r="7">
      <c r="A7">
        <f>HYPERLINK("../../data_st50/DEC09_DYNAMIC/DEC05/OTM/NIFTY25D0926100PE_strategy.csv", "NIFTY25D0926100PE")</f>
        <v/>
      </c>
      <c r="B7" t="inlineStr">
        <is>
          <t>PE</t>
        </is>
      </c>
      <c r="C7" t="inlineStr">
        <is>
          <t>11:17:01</t>
        </is>
      </c>
      <c r="D7" t="inlineStr">
        <is>
          <t>11:21:00</t>
        </is>
      </c>
      <c r="E7" t="n">
        <v>61.8</v>
      </c>
      <c r="F7" t="n">
        <v>56.24</v>
      </c>
      <c r="G7" t="n">
        <v>110070.61</v>
      </c>
      <c r="H7" t="n">
        <v>120956.72</v>
      </c>
      <c r="I7" t="n">
        <v>84669.7</v>
      </c>
      <c r="J7" t="inlineStr">
        <is>
          <t>EXECUTED</t>
        </is>
      </c>
      <c r="K7" t="n">
        <v>3.88</v>
      </c>
      <c r="L7" t="n">
        <v>-4.77</v>
      </c>
      <c r="M7">
        <f>HYPERLINK("../../data_st50/DEC09_DYNAMIC/DEC05/OTM/NIFTY25D0926100PE_strategy.html", "View")</f>
        <v/>
      </c>
      <c r="N7" t="inlineStr"/>
      <c r="O7" t="inlineStr"/>
      <c r="P7" t="inlineStr">
        <is>
          <t>NEUTRAL</t>
        </is>
      </c>
      <c r="Q7" t="inlineStr">
        <is>
          <t>INCLUDED</t>
        </is>
      </c>
      <c r="R7" t="n">
        <v>-9</v>
      </c>
      <c r="S7" t="inlineStr">
        <is>
          <t>Fixed Stop Loss</t>
        </is>
      </c>
      <c r="T7" t="n">
        <v>0.5638</v>
      </c>
      <c r="U7" t="inlineStr"/>
      <c r="V7" t="inlineStr">
        <is>
          <t>2025-12-05</t>
        </is>
      </c>
      <c r="W7" t="inlineStr">
        <is>
          <t>Above R1</t>
        </is>
      </c>
      <c r="X7" t="n">
        <v>26135.25</v>
      </c>
      <c r="Y7" t="n">
        <v>26108.35</v>
      </c>
      <c r="Z7" t="n">
        <v>25949.05</v>
      </c>
      <c r="AA7" t="n">
        <v>26182.95</v>
      </c>
      <c r="AB7" t="n">
        <v>25864.35</v>
      </c>
      <c r="AC7" t="n">
        <v>26267.65</v>
      </c>
      <c r="AD7" t="n">
        <v>25789.75</v>
      </c>
    </row>
    <row r="8">
      <c r="A8">
        <f>HYPERLINK("../../data_st50/DEC16_DYNAMIC/DEC11/OTM/NIFTY25D1625900PE_strategy.csv", "NIFTY25D1625900PE")</f>
        <v/>
      </c>
      <c r="B8" t="inlineStr">
        <is>
          <t>PE</t>
        </is>
      </c>
      <c r="C8" t="inlineStr">
        <is>
          <t>12:32:01</t>
        </is>
      </c>
      <c r="D8" t="inlineStr">
        <is>
          <t>13:23:00</t>
        </is>
      </c>
      <c r="E8" t="n">
        <v>92.59999999999999</v>
      </c>
      <c r="F8" t="n">
        <v>104.6</v>
      </c>
      <c r="G8" t="n">
        <v>117941.37</v>
      </c>
      <c r="H8" t="n">
        <v>117941.37</v>
      </c>
      <c r="I8" t="n">
        <v>82558.96000000001</v>
      </c>
      <c r="J8" t="inlineStr">
        <is>
          <t>EXECUTED</t>
        </is>
      </c>
      <c r="K8" t="n">
        <v>28.89</v>
      </c>
      <c r="L8" t="n">
        <v>-9.289999999999999</v>
      </c>
      <c r="M8">
        <f>HYPERLINK("../../data_st50/DEC16_DYNAMIC/DEC11/OTM/NIFTY25D1625900PE_strategy.html", "View")</f>
        <v/>
      </c>
      <c r="N8" t="inlineStr"/>
      <c r="O8" t="inlineStr"/>
      <c r="P8" t="inlineStr">
        <is>
          <t>NEUTRAL</t>
        </is>
      </c>
      <c r="Q8" t="inlineStr">
        <is>
          <t>INCLUDED</t>
        </is>
      </c>
      <c r="R8" t="n">
        <v>12.96</v>
      </c>
      <c r="S8" t="inlineStr">
        <is>
          <t>Dynamic Trailing MA (Fast/Slow MA)</t>
        </is>
      </c>
      <c r="T8" t="n">
        <v>0.2927</v>
      </c>
      <c r="U8" t="n">
        <v>0.4265</v>
      </c>
      <c r="V8" t="inlineStr">
        <is>
          <t>2025-12-11</t>
        </is>
      </c>
      <c r="W8" t="inlineStr">
        <is>
          <t>Above R1</t>
        </is>
      </c>
      <c r="X8" t="n">
        <v>25901.35</v>
      </c>
      <c r="Y8" t="n">
        <v>25892.25</v>
      </c>
      <c r="Z8" t="n">
        <v>25679.15</v>
      </c>
      <c r="AA8" t="n">
        <v>26026.5</v>
      </c>
      <c r="AB8" t="n">
        <v>25600.3</v>
      </c>
      <c r="AC8" t="n">
        <v>26105.35</v>
      </c>
      <c r="AD8" t="n">
        <v>25466.05</v>
      </c>
    </row>
    <row r="9">
      <c r="A9">
        <f>HYPERLINK("../../data_st50/DEC16_DYNAMIC/DEC12/OTM/NIFTY25D1626000PE_strategy.csv", "NIFTY25D1626000PE")</f>
        <v/>
      </c>
      <c r="B9" t="inlineStr">
        <is>
          <t>PE</t>
        </is>
      </c>
      <c r="C9" t="inlineStr">
        <is>
          <t>13:53:01</t>
        </is>
      </c>
      <c r="D9" t="inlineStr">
        <is>
          <t>14:04:00</t>
        </is>
      </c>
      <c r="E9" t="n">
        <v>62.95</v>
      </c>
      <c r="F9" t="n">
        <v>57.28</v>
      </c>
      <c r="G9" t="n">
        <v>83214.10000000001</v>
      </c>
      <c r="H9" t="n">
        <v>104174.98</v>
      </c>
      <c r="I9" t="n">
        <v>72922.49000000001</v>
      </c>
      <c r="J9" t="inlineStr">
        <is>
          <t>EXECUTED</t>
        </is>
      </c>
      <c r="K9" t="n">
        <v>2.46</v>
      </c>
      <c r="L9" t="n">
        <v>-8.5</v>
      </c>
      <c r="M9">
        <f>HYPERLINK("../../data_st50/DEC16_DYNAMIC/DEC12/OTM/NIFTY25D1626000PE_strategy.html", "View")</f>
        <v/>
      </c>
      <c r="N9" t="inlineStr"/>
      <c r="O9" t="inlineStr"/>
      <c r="P9" t="inlineStr">
        <is>
          <t>NEUTRAL</t>
        </is>
      </c>
      <c r="Q9" t="inlineStr">
        <is>
          <t>INCLUDED</t>
        </is>
      </c>
      <c r="R9" t="n">
        <v>-9.01</v>
      </c>
      <c r="S9" t="inlineStr">
        <is>
          <t>Fixed Stop Loss</t>
        </is>
      </c>
      <c r="T9" t="n">
        <v>0.4848</v>
      </c>
      <c r="U9" t="inlineStr"/>
      <c r="V9" t="inlineStr">
        <is>
          <t>2025-12-12</t>
        </is>
      </c>
      <c r="W9" t="inlineStr">
        <is>
          <t>Above R1</t>
        </is>
      </c>
      <c r="X9" t="n">
        <v>26024.05</v>
      </c>
      <c r="Y9" t="n">
        <v>25983.15</v>
      </c>
      <c r="Z9" t="n">
        <v>25753.6</v>
      </c>
      <c r="AA9" t="n">
        <v>26067.75</v>
      </c>
      <c r="AB9" t="n">
        <v>25608.65</v>
      </c>
      <c r="AC9" t="n">
        <v>26212.7</v>
      </c>
      <c r="AD9" t="n">
        <v>25524.05</v>
      </c>
    </row>
    <row r="10">
      <c r="A10">
        <f>HYPERLINK("../../data_st50/DEC16_DYNAMIC/DEC12/OTM/NIFTY25D1626050CE_strategy.csv", "NIFTY25D1626050CE")</f>
        <v/>
      </c>
      <c r="B10" t="inlineStr">
        <is>
          <t>CE</t>
        </is>
      </c>
      <c r="C10" t="inlineStr">
        <is>
          <t>13:34:01</t>
        </is>
      </c>
      <c r="D10" t="inlineStr">
        <is>
          <t>14:01:00</t>
        </is>
      </c>
      <c r="E10" t="n">
        <v>73.7</v>
      </c>
      <c r="F10" t="n">
        <v>81.65000000000001</v>
      </c>
      <c r="G10" t="n">
        <v>91454.11</v>
      </c>
      <c r="H10" t="n">
        <v>104174.98</v>
      </c>
      <c r="I10" t="n">
        <v>72922.49000000001</v>
      </c>
      <c r="J10" t="inlineStr">
        <is>
          <t>EXECUTED</t>
        </is>
      </c>
      <c r="K10" t="n">
        <v>16.01</v>
      </c>
      <c r="L10" t="n">
        <v>-8.01</v>
      </c>
      <c r="M10">
        <f>HYPERLINK("../../data_st50/DEC16_DYNAMIC/DEC12/OTM/NIFTY25D1626050CE_strategy.html", "View")</f>
        <v/>
      </c>
      <c r="N10" t="inlineStr"/>
      <c r="O10" t="inlineStr"/>
      <c r="P10" t="inlineStr">
        <is>
          <t>NEUTRAL</t>
        </is>
      </c>
      <c r="Q10" t="inlineStr">
        <is>
          <t>INCLUDED</t>
        </is>
      </c>
      <c r="R10" t="n">
        <v>10.79</v>
      </c>
      <c r="S10" t="inlineStr">
        <is>
          <t>Dynamic Trailing MA (Fast/Slow MA)</t>
        </is>
      </c>
      <c r="T10" t="n">
        <v>0.1926</v>
      </c>
      <c r="U10" t="n">
        <v>0.4118</v>
      </c>
      <c r="V10" t="inlineStr">
        <is>
          <t>2025-12-12</t>
        </is>
      </c>
      <c r="W10" t="inlineStr">
        <is>
          <t>Above R1</t>
        </is>
      </c>
      <c r="X10" t="n">
        <v>26015.45</v>
      </c>
      <c r="Y10" t="n">
        <v>25983.15</v>
      </c>
      <c r="Z10" t="n">
        <v>25753.6</v>
      </c>
      <c r="AA10" t="n">
        <v>26067.75</v>
      </c>
      <c r="AB10" t="n">
        <v>25608.65</v>
      </c>
      <c r="AC10" t="n">
        <v>26212.7</v>
      </c>
      <c r="AD10" t="n">
        <v>25524.05</v>
      </c>
    </row>
    <row r="11">
      <c r="A11">
        <f>HYPERLINK("../../data_st50/DEC16_DYNAMIC/DEC12/OTM/NIFTY25D1626000PE_strategy.csv", "NIFTY25D1626000PE")</f>
        <v/>
      </c>
      <c r="B11" t="inlineStr">
        <is>
          <t>PE</t>
        </is>
      </c>
      <c r="C11" t="inlineStr">
        <is>
          <t>13:19:01</t>
        </is>
      </c>
      <c r="D11" t="inlineStr">
        <is>
          <t>13:40:00</t>
        </is>
      </c>
      <c r="E11" t="n">
        <v>63</v>
      </c>
      <c r="F11" t="n">
        <v>62.34</v>
      </c>
      <c r="G11" t="n">
        <v>82547.25999999999</v>
      </c>
      <c r="H11" t="n">
        <v>104174.98</v>
      </c>
      <c r="I11" t="n">
        <v>72922.49000000001</v>
      </c>
      <c r="J11" t="inlineStr">
        <is>
          <t>EXECUTED</t>
        </is>
      </c>
      <c r="K11" t="n">
        <v>16.19</v>
      </c>
      <c r="L11" t="n">
        <v>-6.83</v>
      </c>
      <c r="M11">
        <f>HYPERLINK("../../data_st50/DEC16_DYNAMIC/DEC12/OTM/NIFTY25D1626000PE_strategy.html", "View")</f>
        <v/>
      </c>
      <c r="N11" t="inlineStr"/>
      <c r="O11" t="inlineStr"/>
      <c r="P11" t="inlineStr">
        <is>
          <t>NEUTRAL</t>
        </is>
      </c>
      <c r="Q11" t="inlineStr">
        <is>
          <t>INCLUDED</t>
        </is>
      </c>
      <c r="R11" t="n">
        <v>-1.05</v>
      </c>
      <c r="S11" t="inlineStr">
        <is>
          <t>SuperTrend Stop Loss Exit</t>
        </is>
      </c>
      <c r="T11" t="n">
        <v>0.4876</v>
      </c>
      <c r="U11" t="n">
        <v>0.7682</v>
      </c>
      <c r="V11" t="inlineStr">
        <is>
          <t>2025-12-12</t>
        </is>
      </c>
      <c r="W11" t="inlineStr">
        <is>
          <t>Above R1</t>
        </is>
      </c>
      <c r="X11" t="n">
        <v>26028.95</v>
      </c>
      <c r="Y11" t="n">
        <v>25983.15</v>
      </c>
      <c r="Z11" t="n">
        <v>25753.6</v>
      </c>
      <c r="AA11" t="n">
        <v>26067.75</v>
      </c>
      <c r="AB11" t="n">
        <v>25608.65</v>
      </c>
      <c r="AC11" t="n">
        <v>26212.7</v>
      </c>
      <c r="AD11" t="n">
        <v>25524.05</v>
      </c>
    </row>
    <row r="12">
      <c r="A12">
        <f>HYPERLINK("../../data_st50/DEC16_DYNAMIC/DEC12/OTM/NIFTY25D1626050CE_strategy.csv", "NIFTY25D1626050CE")</f>
        <v/>
      </c>
      <c r="B12" t="inlineStr">
        <is>
          <t>CE</t>
        </is>
      </c>
      <c r="C12" t="inlineStr">
        <is>
          <t>13:10:01</t>
        </is>
      </c>
      <c r="D12" t="inlineStr">
        <is>
          <t>13:24:00</t>
        </is>
      </c>
      <c r="E12" t="n">
        <v>77.40000000000001</v>
      </c>
      <c r="F12" t="n">
        <v>75.59</v>
      </c>
      <c r="G12" t="n">
        <v>83423.2</v>
      </c>
      <c r="H12" t="n">
        <v>104174.98</v>
      </c>
      <c r="I12" t="n">
        <v>72922.49000000001</v>
      </c>
      <c r="J12" t="inlineStr">
        <is>
          <t>EXECUTED</t>
        </is>
      </c>
      <c r="K12" t="n">
        <v>14.15</v>
      </c>
      <c r="L12" t="n">
        <v>-10.14</v>
      </c>
      <c r="M12">
        <f>HYPERLINK("../../data_st50/DEC16_DYNAMIC/DEC12/OTM/NIFTY25D1626050CE_strategy.html", "View")</f>
        <v/>
      </c>
      <c r="N12" t="inlineStr"/>
      <c r="O12" t="inlineStr"/>
      <c r="P12" t="inlineStr">
        <is>
          <t>NEUTRAL</t>
        </is>
      </c>
      <c r="Q12" t="inlineStr">
        <is>
          <t>INCLUDED</t>
        </is>
      </c>
      <c r="R12" t="n">
        <v>-2.34</v>
      </c>
      <c r="S12" t="inlineStr">
        <is>
          <t>SuperTrend Stop Loss Exit</t>
        </is>
      </c>
      <c r="T12" t="n">
        <v>0.3984</v>
      </c>
      <c r="U12" t="n">
        <v>0.5195</v>
      </c>
      <c r="V12" t="inlineStr">
        <is>
          <t>2025-12-12</t>
        </is>
      </c>
      <c r="W12" t="inlineStr">
        <is>
          <t>Above R1</t>
        </is>
      </c>
      <c r="X12" t="n">
        <v>26022.1</v>
      </c>
      <c r="Y12" t="n">
        <v>25983.15</v>
      </c>
      <c r="Z12" t="n">
        <v>25753.6</v>
      </c>
      <c r="AA12" t="n">
        <v>26067.75</v>
      </c>
      <c r="AB12" t="n">
        <v>25608.65</v>
      </c>
      <c r="AC12" t="n">
        <v>26212.7</v>
      </c>
      <c r="AD12" t="n">
        <v>25524.05</v>
      </c>
    </row>
    <row r="13">
      <c r="A13">
        <f>HYPERLINK("../../data_st50/DEC16_DYNAMIC/DEC12/OTM/NIFTY25D1626000PE_strategy.csv", "NIFTY25D1626000PE")</f>
        <v/>
      </c>
      <c r="B13" t="inlineStr">
        <is>
          <t>PE</t>
        </is>
      </c>
      <c r="C13" t="inlineStr">
        <is>
          <t>13:05:01</t>
        </is>
      </c>
      <c r="D13" t="inlineStr">
        <is>
          <t>13:13:00</t>
        </is>
      </c>
      <c r="E13" t="n">
        <v>65.8</v>
      </c>
      <c r="F13" t="n">
        <v>60.96</v>
      </c>
      <c r="G13" t="n">
        <v>85422.08</v>
      </c>
      <c r="H13" t="n">
        <v>104174.98</v>
      </c>
      <c r="I13" t="n">
        <v>72922.49000000001</v>
      </c>
      <c r="J13" t="inlineStr">
        <is>
          <t>EXECUTED</t>
        </is>
      </c>
      <c r="K13" t="n">
        <v>13.3</v>
      </c>
      <c r="L13" t="n">
        <v>-7.52</v>
      </c>
      <c r="M13">
        <f>HYPERLINK("../../data_st50/DEC16_DYNAMIC/DEC12/OTM/NIFTY25D1626000PE_strategy.html", "View")</f>
        <v/>
      </c>
      <c r="N13" t="inlineStr"/>
      <c r="O13" t="inlineStr"/>
      <c r="P13" t="inlineStr">
        <is>
          <t>NEUTRAL</t>
        </is>
      </c>
      <c r="Q13" t="inlineStr">
        <is>
          <t>INCLUDED</t>
        </is>
      </c>
      <c r="R13" t="n">
        <v>-7.36</v>
      </c>
      <c r="S13" t="inlineStr">
        <is>
          <t>SuperTrend Stop Loss Exit</t>
        </is>
      </c>
      <c r="T13" t="n">
        <v>0.3473</v>
      </c>
      <c r="U13" t="n">
        <v>0.5439000000000001</v>
      </c>
      <c r="V13" t="inlineStr">
        <is>
          <t>2025-12-12</t>
        </is>
      </c>
      <c r="W13" t="inlineStr">
        <is>
          <t>Above R1</t>
        </is>
      </c>
      <c r="X13" t="n">
        <v>26024.55</v>
      </c>
      <c r="Y13" t="n">
        <v>25983.15</v>
      </c>
      <c r="Z13" t="n">
        <v>25753.6</v>
      </c>
      <c r="AA13" t="n">
        <v>26067.75</v>
      </c>
      <c r="AB13" t="n">
        <v>25608.65</v>
      </c>
      <c r="AC13" t="n">
        <v>26212.7</v>
      </c>
      <c r="AD13" t="n">
        <v>25524.05</v>
      </c>
    </row>
    <row r="14">
      <c r="A14">
        <f>HYPERLINK("../../data_st50/DEC16_DYNAMIC/DEC12/OTM/NIFTY25D1626050CE_strategy.csv", "NIFTY25D1626050CE")</f>
        <v/>
      </c>
      <c r="B14" t="inlineStr">
        <is>
          <t>CE</t>
        </is>
      </c>
      <c r="C14" t="inlineStr">
        <is>
          <t>12:52:01</t>
        </is>
      </c>
      <c r="D14" t="inlineStr">
        <is>
          <t>13:08:00</t>
        </is>
      </c>
      <c r="E14" t="n">
        <v>76.95</v>
      </c>
      <c r="F14" t="n">
        <v>70.02</v>
      </c>
      <c r="G14" t="n">
        <v>92208.64</v>
      </c>
      <c r="H14" t="n">
        <v>104174.98</v>
      </c>
      <c r="I14" t="n">
        <v>72922.49000000001</v>
      </c>
      <c r="J14" t="inlineStr">
        <is>
          <t>EXECUTED</t>
        </is>
      </c>
      <c r="K14" t="n">
        <v>9.81</v>
      </c>
      <c r="L14" t="n">
        <v>-6.24</v>
      </c>
      <c r="M14">
        <f>HYPERLINK("../../data_st50/DEC16_DYNAMIC/DEC12/OTM/NIFTY25D1626050CE_strategy.html", "View")</f>
        <v/>
      </c>
      <c r="N14" t="inlineStr"/>
      <c r="O14" t="inlineStr"/>
      <c r="P14" t="inlineStr">
        <is>
          <t>NEUTRAL</t>
        </is>
      </c>
      <c r="Q14" t="inlineStr">
        <is>
          <t>INCLUDED</t>
        </is>
      </c>
      <c r="R14" t="n">
        <v>-9.01</v>
      </c>
      <c r="S14" t="inlineStr">
        <is>
          <t>Fixed Stop Loss</t>
        </is>
      </c>
      <c r="T14" t="n">
        <v>0.3178</v>
      </c>
      <c r="U14" t="n">
        <v>0.5697</v>
      </c>
      <c r="V14" t="inlineStr">
        <is>
          <t>2025-12-12</t>
        </is>
      </c>
      <c r="W14" t="inlineStr">
        <is>
          <t>Above R1</t>
        </is>
      </c>
      <c r="X14" t="n">
        <v>26019.9</v>
      </c>
      <c r="Y14" t="n">
        <v>25983.15</v>
      </c>
      <c r="Z14" t="n">
        <v>25753.6</v>
      </c>
      <c r="AA14" t="n">
        <v>26067.75</v>
      </c>
      <c r="AB14" t="n">
        <v>25608.65</v>
      </c>
      <c r="AC14" t="n">
        <v>26212.7</v>
      </c>
      <c r="AD14" t="n">
        <v>25524.05</v>
      </c>
    </row>
    <row r="15">
      <c r="A15">
        <f>HYPERLINK("../../data_st50/DEC16_DYNAMIC/DEC12/OTM/NIFTY25D1626000PE_strategy.csv", "NIFTY25D1626000PE")</f>
        <v/>
      </c>
      <c r="B15" t="inlineStr">
        <is>
          <t>PE</t>
        </is>
      </c>
      <c r="C15" t="inlineStr">
        <is>
          <t>12:38:01</t>
        </is>
      </c>
      <c r="D15" t="inlineStr">
        <is>
          <t>12:59:00</t>
        </is>
      </c>
      <c r="E15" t="n">
        <v>67</v>
      </c>
      <c r="F15" t="n">
        <v>65.5</v>
      </c>
      <c r="G15" t="n">
        <v>101339.31</v>
      </c>
      <c r="H15" t="n">
        <v>104174.98</v>
      </c>
      <c r="I15" t="n">
        <v>72922.49000000001</v>
      </c>
      <c r="J15" t="inlineStr">
        <is>
          <t>EXECUTED</t>
        </is>
      </c>
      <c r="K15" t="n">
        <v>9.4</v>
      </c>
      <c r="L15" t="n">
        <v>-11.49</v>
      </c>
      <c r="M15">
        <f>HYPERLINK("../../data_st50/DEC16_DYNAMIC/DEC12/OTM/NIFTY25D1626000PE_strategy.html", "View")</f>
        <v/>
      </c>
      <c r="N15" t="inlineStr"/>
      <c r="O15" t="inlineStr"/>
      <c r="P15" t="inlineStr">
        <is>
          <t>NEUTRAL</t>
        </is>
      </c>
      <c r="Q15" t="inlineStr">
        <is>
          <t>INCLUDED</t>
        </is>
      </c>
      <c r="R15" t="n">
        <v>-2.24</v>
      </c>
      <c r="S15" t="inlineStr">
        <is>
          <t>Dynamic Trailing MA (Fast/Slow MA)</t>
        </is>
      </c>
      <c r="T15" t="n">
        <v>0.4212</v>
      </c>
      <c r="U15" t="n">
        <v>0.588</v>
      </c>
      <c r="V15" t="inlineStr">
        <is>
          <t>2025-12-12</t>
        </is>
      </c>
      <c r="W15" t="inlineStr">
        <is>
          <t>Above R1</t>
        </is>
      </c>
      <c r="X15" t="n">
        <v>26024.25</v>
      </c>
      <c r="Y15" t="n">
        <v>25983.15</v>
      </c>
      <c r="Z15" t="n">
        <v>25753.6</v>
      </c>
      <c r="AA15" t="n">
        <v>26067.75</v>
      </c>
      <c r="AB15" t="n">
        <v>25608.65</v>
      </c>
      <c r="AC15" t="n">
        <v>26212.7</v>
      </c>
      <c r="AD15" t="n">
        <v>25524.05</v>
      </c>
    </row>
    <row r="16">
      <c r="A16">
        <f>HYPERLINK("../../data_st50/DEC16_DYNAMIC/DEC12/OTM/NIFTY25D1626050CE_strategy.csv", "NIFTY25D1626050CE")</f>
        <v/>
      </c>
      <c r="B16" t="inlineStr">
        <is>
          <t>CE</t>
        </is>
      </c>
      <c r="C16" t="inlineStr">
        <is>
          <t>12:15:01</t>
        </is>
      </c>
      <c r="D16" t="inlineStr">
        <is>
          <t>12:39:00</t>
        </is>
      </c>
      <c r="E16" t="n">
        <v>75.84999999999999</v>
      </c>
      <c r="F16" t="n">
        <v>79.5</v>
      </c>
      <c r="G16" t="n">
        <v>103661.32</v>
      </c>
      <c r="H16" t="n">
        <v>104174.98</v>
      </c>
      <c r="I16" t="n">
        <v>72922.49000000001</v>
      </c>
      <c r="J16" t="inlineStr">
        <is>
          <t>EXECUTED</t>
        </is>
      </c>
      <c r="K16" t="n">
        <v>20.5</v>
      </c>
      <c r="L16" t="n">
        <v>-9.359999999999999</v>
      </c>
      <c r="M16">
        <f>HYPERLINK("../../data_st50/DEC16_DYNAMIC/DEC12/OTM/NIFTY25D1626050CE_strategy.html", "View")</f>
        <v/>
      </c>
      <c r="N16" t="inlineStr"/>
      <c r="O16" t="inlineStr"/>
      <c r="P16" t="inlineStr">
        <is>
          <t>BEARISH</t>
        </is>
      </c>
      <c r="Q16" t="inlineStr">
        <is>
          <t>INCLUDED (HYBRID_NEUTRAL_ZONE)</t>
        </is>
      </c>
      <c r="R16" t="n">
        <v>4.81</v>
      </c>
      <c r="S16" t="inlineStr">
        <is>
          <t>SuperTrend Stop Loss Exit</t>
        </is>
      </c>
      <c r="T16" t="n">
        <v>0.3221</v>
      </c>
      <c r="U16" t="n">
        <v>0.7382</v>
      </c>
      <c r="V16" t="inlineStr">
        <is>
          <t>2025-12-12</t>
        </is>
      </c>
      <c r="W16" t="inlineStr">
        <is>
          <t>Above R1</t>
        </is>
      </c>
      <c r="X16" t="n">
        <v>26015.05</v>
      </c>
      <c r="Y16" t="n">
        <v>25983.15</v>
      </c>
      <c r="Z16" t="n">
        <v>25753.6</v>
      </c>
      <c r="AA16" t="n">
        <v>26067.75</v>
      </c>
      <c r="AB16" t="n">
        <v>25608.65</v>
      </c>
      <c r="AC16" t="n">
        <v>26212.7</v>
      </c>
      <c r="AD16" t="n">
        <v>25524.05</v>
      </c>
    </row>
    <row r="17">
      <c r="A17">
        <f>HYPERLINK("../../data_st50/DEC16_DYNAMIC/DEC12/OTM/NIFTY25D1626000PE_strategy.csv", "NIFTY25D1626000PE")</f>
        <v/>
      </c>
      <c r="B17" t="inlineStr">
        <is>
          <t>PE</t>
        </is>
      </c>
      <c r="C17" t="inlineStr">
        <is>
          <t>12:03:01</t>
        </is>
      </c>
      <c r="D17" t="inlineStr">
        <is>
          <t>12:21:00</t>
        </is>
      </c>
      <c r="E17" t="n">
        <v>67.05</v>
      </c>
      <c r="F17" t="n">
        <v>69.95</v>
      </c>
      <c r="G17" t="n">
        <v>98904.03999999999</v>
      </c>
      <c r="H17" t="n">
        <v>104174.98</v>
      </c>
      <c r="I17" t="n">
        <v>72922.49000000001</v>
      </c>
      <c r="J17" t="inlineStr">
        <is>
          <t>EXECUTED</t>
        </is>
      </c>
      <c r="K17" t="n">
        <v>19.69</v>
      </c>
      <c r="L17" t="n">
        <v>-5.29</v>
      </c>
      <c r="M17">
        <f>HYPERLINK("../../data_st50/DEC16_DYNAMIC/DEC12/OTM/NIFTY25D1626000PE_strategy.html", "View")</f>
        <v/>
      </c>
      <c r="N17" t="inlineStr"/>
      <c r="O17" t="inlineStr"/>
      <c r="P17" t="inlineStr">
        <is>
          <t>NEUTRAL</t>
        </is>
      </c>
      <c r="Q17" t="inlineStr">
        <is>
          <t>INCLUDED</t>
        </is>
      </c>
      <c r="R17" t="n">
        <v>4.33</v>
      </c>
      <c r="S17" t="inlineStr">
        <is>
          <t>SuperTrend Stop Loss Exit</t>
        </is>
      </c>
      <c r="T17" t="n">
        <v>0.266</v>
      </c>
      <c r="U17" t="n">
        <v>0.4183</v>
      </c>
      <c r="V17" t="inlineStr">
        <is>
          <t>2025-12-12</t>
        </is>
      </c>
      <c r="W17" t="inlineStr">
        <is>
          <t>Above R1</t>
        </is>
      </c>
      <c r="X17" t="n">
        <v>26027.75</v>
      </c>
      <c r="Y17" t="n">
        <v>25983.15</v>
      </c>
      <c r="Z17" t="n">
        <v>25753.6</v>
      </c>
      <c r="AA17" t="n">
        <v>26067.75</v>
      </c>
      <c r="AB17" t="n">
        <v>25608.65</v>
      </c>
      <c r="AC17" t="n">
        <v>26212.7</v>
      </c>
      <c r="AD17" t="n">
        <v>25524.05</v>
      </c>
    </row>
    <row r="18">
      <c r="A18">
        <f>HYPERLINK("../../data_st50/DEC16_DYNAMIC/DEC12/OTM/NIFTY25D1626000PE_strategy.csv", "NIFTY25D1626000PE")</f>
        <v/>
      </c>
      <c r="B18" t="inlineStr">
        <is>
          <t>PE</t>
        </is>
      </c>
      <c r="C18" t="inlineStr">
        <is>
          <t>11:48:01</t>
        </is>
      </c>
      <c r="D18" t="inlineStr">
        <is>
          <t>11:53:00</t>
        </is>
      </c>
      <c r="E18" t="n">
        <v>74</v>
      </c>
      <c r="F18" t="n">
        <v>67.34</v>
      </c>
      <c r="G18" t="n">
        <v>94799.23</v>
      </c>
      <c r="H18" t="n">
        <v>104174.98</v>
      </c>
      <c r="I18" t="n">
        <v>72922.49000000001</v>
      </c>
      <c r="J18" t="inlineStr">
        <is>
          <t>EXECUTED</t>
        </is>
      </c>
      <c r="K18" t="n">
        <v>1.82</v>
      </c>
      <c r="L18" t="n">
        <v>-8.109999999999999</v>
      </c>
      <c r="M18">
        <f>HYPERLINK("../../data_st50/DEC16_DYNAMIC/DEC12/OTM/NIFTY25D1626000PE_strategy.html", "View")</f>
        <v/>
      </c>
      <c r="N18" t="inlineStr"/>
      <c r="O18" t="inlineStr"/>
      <c r="P18" t="inlineStr">
        <is>
          <t>BEARISH</t>
        </is>
      </c>
      <c r="Q18" t="inlineStr">
        <is>
          <t>INCLUDED (HYBRID_NEUTRAL_ZONE)</t>
        </is>
      </c>
      <c r="R18" t="n">
        <v>-9</v>
      </c>
      <c r="S18" t="inlineStr">
        <is>
          <t>Fixed Stop Loss</t>
        </is>
      </c>
      <c r="T18" t="n">
        <v>0.5208</v>
      </c>
      <c r="U18" t="inlineStr"/>
      <c r="V18" t="inlineStr">
        <is>
          <t>2025-12-12</t>
        </is>
      </c>
      <c r="W18" t="inlineStr">
        <is>
          <t>Above R1</t>
        </is>
      </c>
      <c r="X18" t="n">
        <v>26014</v>
      </c>
      <c r="Y18" t="n">
        <v>25983.15</v>
      </c>
      <c r="Z18" t="n">
        <v>25753.6</v>
      </c>
      <c r="AA18" t="n">
        <v>26067.75</v>
      </c>
      <c r="AB18" t="n">
        <v>25608.65</v>
      </c>
      <c r="AC18" t="n">
        <v>26212.7</v>
      </c>
      <c r="AD18" t="n">
        <v>25524.05</v>
      </c>
    </row>
    <row r="19">
      <c r="A19">
        <f>HYPERLINK("../../data_st50/DEC16_DYNAMIC/DEC12/OTM/NIFTY25D1626000CE_strategy.csv", "NIFTY25D1626000CE")</f>
        <v/>
      </c>
      <c r="B19" t="inlineStr">
        <is>
          <t>CE</t>
        </is>
      </c>
      <c r="C19" t="inlineStr">
        <is>
          <t>10:15:01</t>
        </is>
      </c>
      <c r="D19" t="inlineStr">
        <is>
          <t>10:22:00</t>
        </is>
      </c>
      <c r="E19" t="n">
        <v>102.45</v>
      </c>
      <c r="F19" t="n">
        <v>93.23</v>
      </c>
      <c r="G19" t="n">
        <v>91000</v>
      </c>
      <c r="H19" t="n">
        <v>100000</v>
      </c>
      <c r="I19" t="n">
        <v>70000</v>
      </c>
      <c r="J19" t="inlineStr">
        <is>
          <t>EXECUTED</t>
        </is>
      </c>
      <c r="K19" t="n">
        <v>8.880000000000001</v>
      </c>
      <c r="L19" t="n">
        <v>-13.27</v>
      </c>
      <c r="M19">
        <f>HYPERLINK("../../data_st50/DEC16_DYNAMIC/DEC12/OTM/NIFTY25D1626000CE_strategy.html", "View")</f>
        <v/>
      </c>
      <c r="N19" t="inlineStr"/>
      <c r="O19" t="inlineStr"/>
      <c r="P19" t="inlineStr">
        <is>
          <t>BULLISH</t>
        </is>
      </c>
      <c r="Q19" t="inlineStr">
        <is>
          <t>INCLUDED (HYBRID_NEUTRAL_ZONE)</t>
        </is>
      </c>
      <c r="R19" t="n">
        <v>-9</v>
      </c>
      <c r="S19" t="inlineStr">
        <is>
          <t>Fixed Stop Loss</t>
        </is>
      </c>
      <c r="T19" t="n">
        <v>0.4859</v>
      </c>
      <c r="U19" t="n">
        <v>0.532</v>
      </c>
      <c r="V19" t="inlineStr">
        <is>
          <t>2025-12-12</t>
        </is>
      </c>
      <c r="W19" t="inlineStr">
        <is>
          <t>Above R1</t>
        </is>
      </c>
      <c r="X19" t="n">
        <v>26004.5</v>
      </c>
      <c r="Y19" t="n">
        <v>25983.15</v>
      </c>
      <c r="Z19" t="n">
        <v>25753.6</v>
      </c>
      <c r="AA19" t="n">
        <v>26067.75</v>
      </c>
      <c r="AB19" t="n">
        <v>25608.65</v>
      </c>
      <c r="AC19" t="n">
        <v>26212.7</v>
      </c>
      <c r="AD19" t="n">
        <v>25524.05</v>
      </c>
    </row>
    <row r="20">
      <c r="A20">
        <f>HYPERLINK("../../data_st50/JAN20_DYNAMIC/JAN16/OTM/NIFTY2612025800CE_strategy.csv", "NIFTY2612025800CE")</f>
        <v/>
      </c>
      <c r="B20" t="inlineStr">
        <is>
          <t>CE</t>
        </is>
      </c>
      <c r="C20" t="inlineStr">
        <is>
          <t>12:04:01</t>
        </is>
      </c>
      <c r="D20" t="inlineStr">
        <is>
          <t>12:26:00</t>
        </is>
      </c>
      <c r="E20" t="n">
        <v>116.45</v>
      </c>
      <c r="F20" t="n">
        <v>124.98</v>
      </c>
      <c r="G20" t="n">
        <v>84253.5</v>
      </c>
      <c r="H20" t="n">
        <v>100000</v>
      </c>
      <c r="I20" t="n">
        <v>70000</v>
      </c>
      <c r="J20" t="inlineStr">
        <is>
          <t>EXECUTED</t>
        </is>
      </c>
      <c r="K20" t="n">
        <v>24.52</v>
      </c>
      <c r="L20" t="n">
        <v>-10.78</v>
      </c>
      <c r="M20">
        <f>HYPERLINK("../../data_st50/JAN20_DYNAMIC/JAN16/OTM/NIFTY2612025800CE_strategy.html", "View")</f>
        <v/>
      </c>
      <c r="N20" t="inlineStr"/>
      <c r="O20" t="inlineStr"/>
      <c r="P20" t="inlineStr">
        <is>
          <t>BULLISH</t>
        </is>
      </c>
      <c r="Q20" t="inlineStr">
        <is>
          <t>INCLUDED (HYBRID_NEUTRAL_ZONE)</t>
        </is>
      </c>
      <c r="R20" t="n">
        <v>7.33</v>
      </c>
      <c r="S20" t="inlineStr">
        <is>
          <t>SuperTrend Stop Loss Exit</t>
        </is>
      </c>
      <c r="T20" t="n">
        <v>0.4244</v>
      </c>
      <c r="U20" t="n">
        <v>0.5012</v>
      </c>
      <c r="V20" t="inlineStr">
        <is>
          <t>2026-01-16</t>
        </is>
      </c>
      <c r="W20" t="inlineStr">
        <is>
          <t>Above R1</t>
        </is>
      </c>
      <c r="X20" t="n">
        <v>25788.71</v>
      </c>
      <c r="Y20" t="n">
        <v>25770.25</v>
      </c>
      <c r="Z20" t="n">
        <v>25582.45</v>
      </c>
      <c r="AA20" t="n">
        <v>25874.9</v>
      </c>
      <c r="AB20" t="n">
        <v>25499.3</v>
      </c>
      <c r="AC20" t="n">
        <v>25958.05</v>
      </c>
      <c r="AD20" t="n">
        <v>25394.65</v>
      </c>
    </row>
    <row r="21">
      <c r="A21">
        <f>HYPERLINK("../../data_st50/JAN20_DYNAMIC/JAN16/OTM/NIFTY2612025850CE_strategy.csv", "NIFTY2612025850CE")</f>
        <v/>
      </c>
      <c r="B21" t="inlineStr">
        <is>
          <t>CE</t>
        </is>
      </c>
      <c r="C21" t="inlineStr">
        <is>
          <t>11:28:01</t>
        </is>
      </c>
      <c r="D21" t="inlineStr">
        <is>
          <t>11:33:00</t>
        </is>
      </c>
      <c r="E21" t="n">
        <v>105.5</v>
      </c>
      <c r="F21" t="n">
        <v>96.01000000000001</v>
      </c>
      <c r="G21" t="n">
        <v>78499.49000000001</v>
      </c>
      <c r="H21" t="n">
        <v>100000</v>
      </c>
      <c r="I21" t="n">
        <v>70000</v>
      </c>
      <c r="J21" t="inlineStr">
        <is>
          <t>EXECUTED</t>
        </is>
      </c>
      <c r="K21" t="n">
        <v>11.37</v>
      </c>
      <c r="L21" t="n">
        <v>-9.949999999999999</v>
      </c>
      <c r="M21">
        <f>HYPERLINK("../../data_st50/JAN20_DYNAMIC/JAN16/OTM/NIFTY2612025850CE_strategy.html", "View")</f>
        <v/>
      </c>
      <c r="N21" t="inlineStr"/>
      <c r="O21" t="inlineStr"/>
      <c r="P21" t="inlineStr">
        <is>
          <t>NEUTRAL</t>
        </is>
      </c>
      <c r="Q21" t="inlineStr">
        <is>
          <t>INCLUDED</t>
        </is>
      </c>
      <c r="R21" t="n">
        <v>-9</v>
      </c>
      <c r="S21" t="inlineStr">
        <is>
          <t>Fixed Stop Loss</t>
        </is>
      </c>
      <c r="T21" t="n">
        <v>0.5344</v>
      </c>
      <c r="U21" t="n">
        <v>0.6388</v>
      </c>
      <c r="V21" t="inlineStr">
        <is>
          <t>2026-01-16</t>
        </is>
      </c>
      <c r="W21" t="inlineStr">
        <is>
          <t>Above R1</t>
        </is>
      </c>
      <c r="X21" t="n">
        <v>25816.22</v>
      </c>
      <c r="Y21" t="n">
        <v>25770.25</v>
      </c>
      <c r="Z21" t="n">
        <v>25582.45</v>
      </c>
      <c r="AA21" t="n">
        <v>25874.9</v>
      </c>
      <c r="AB21" t="n">
        <v>25499.3</v>
      </c>
      <c r="AC21" t="n">
        <v>25958.05</v>
      </c>
      <c r="AD21" t="n">
        <v>25394.65</v>
      </c>
    </row>
    <row r="22">
      <c r="A22">
        <f>HYPERLINK("../../data_st50/JAN20_DYNAMIC/JAN16/OTM/NIFTY2612025850PE_strategy.csv", "NIFTY2612025850PE")</f>
        <v/>
      </c>
      <c r="B22" t="inlineStr">
        <is>
          <t>PE</t>
        </is>
      </c>
      <c r="C22" t="inlineStr">
        <is>
          <t>10:43:01</t>
        </is>
      </c>
      <c r="D22" t="inlineStr">
        <is>
          <t>11:31:00</t>
        </is>
      </c>
      <c r="E22" t="n">
        <v>92.55</v>
      </c>
      <c r="F22" t="n">
        <v>96.41</v>
      </c>
      <c r="G22" t="n">
        <v>86263.17999999999</v>
      </c>
      <c r="H22" t="n">
        <v>100000</v>
      </c>
      <c r="I22" t="n">
        <v>70000</v>
      </c>
      <c r="J22" t="inlineStr">
        <is>
          <t>EXECUTED</t>
        </is>
      </c>
      <c r="K22" t="n">
        <v>27.28</v>
      </c>
      <c r="L22" t="n">
        <v>-8.539999999999999</v>
      </c>
      <c r="M22">
        <f>HYPERLINK("../../data_st50/JAN20_DYNAMIC/JAN16/OTM/NIFTY2612025850PE_strategy.html", "View")</f>
        <v/>
      </c>
      <c r="N22" t="inlineStr"/>
      <c r="O22" t="inlineStr"/>
      <c r="P22" t="inlineStr">
        <is>
          <t>BEARISH</t>
        </is>
      </c>
      <c r="Q22" t="inlineStr">
        <is>
          <t>INCLUDED (HYBRID_NEUTRAL_ZONE)</t>
        </is>
      </c>
      <c r="R22" t="n">
        <v>4.17</v>
      </c>
      <c r="S22" t="inlineStr">
        <is>
          <t>SuperTrend Stop Loss Exit</t>
        </is>
      </c>
      <c r="T22" t="n">
        <v>0.6272</v>
      </c>
      <c r="U22" t="n">
        <v>0.6774</v>
      </c>
      <c r="V22" t="inlineStr">
        <is>
          <t>2026-01-16</t>
        </is>
      </c>
      <c r="W22" t="inlineStr">
        <is>
          <t>Above R1</t>
        </is>
      </c>
      <c r="X22" t="n">
        <v>25846.94</v>
      </c>
      <c r="Y22" t="n">
        <v>25770.25</v>
      </c>
      <c r="Z22" t="n">
        <v>25582.45</v>
      </c>
      <c r="AA22" t="n">
        <v>25874.9</v>
      </c>
      <c r="AB22" t="n">
        <v>25499.3</v>
      </c>
      <c r="AC22" t="n">
        <v>25958.05</v>
      </c>
      <c r="AD22" t="n">
        <v>25394.65</v>
      </c>
    </row>
    <row r="23">
      <c r="A23">
        <f>HYPERLINK("../../data_st50/JAN27_DYNAMIC/JAN22/OTM/NIFTY26JAN25350PE_strategy.csv", "NIFTY26JAN25350PE")</f>
        <v/>
      </c>
      <c r="B23" t="inlineStr">
        <is>
          <t>PE</t>
        </is>
      </c>
      <c r="C23" t="inlineStr">
        <is>
          <t>10:02:01</t>
        </is>
      </c>
      <c r="D23" t="inlineStr">
        <is>
          <t>10:34:00</t>
        </is>
      </c>
      <c r="E23" t="n">
        <v>106.3</v>
      </c>
      <c r="F23" t="n">
        <v>142.76</v>
      </c>
      <c r="G23" t="n">
        <v>134300</v>
      </c>
      <c r="H23" t="n">
        <v>134300</v>
      </c>
      <c r="I23" t="n">
        <v>94010</v>
      </c>
      <c r="J23" t="inlineStr">
        <is>
          <t>EXECUTED</t>
        </is>
      </c>
      <c r="K23" t="n">
        <v>73.56999999999999</v>
      </c>
      <c r="L23" t="n">
        <v>-9.220000000000001</v>
      </c>
      <c r="M23">
        <f>HYPERLINK("../../data_st50/JAN27_DYNAMIC/JAN22/OTM/NIFTY26JAN25350PE_strategy.html", "View")</f>
        <v/>
      </c>
      <c r="N23" t="inlineStr"/>
      <c r="O23" t="inlineStr"/>
      <c r="P23" t="inlineStr">
        <is>
          <t>BEARISH</t>
        </is>
      </c>
      <c r="Q23" t="inlineStr">
        <is>
          <t>INCLUDED (HYBRID_NEUTRAL_ZONE)</t>
        </is>
      </c>
      <c r="R23" t="n">
        <v>34.3</v>
      </c>
      <c r="S23" t="inlineStr">
        <is>
          <t>SuperTrend Stop Loss Exit</t>
        </is>
      </c>
      <c r="T23" t="n">
        <v>0.631</v>
      </c>
      <c r="U23" t="n">
        <v>0.6463</v>
      </c>
      <c r="V23" t="inlineStr">
        <is>
          <t>2026-01-22</t>
        </is>
      </c>
      <c r="W23" t="inlineStr">
        <is>
          <t>Above R1</t>
        </is>
      </c>
      <c r="X23" t="n">
        <v>25376.86</v>
      </c>
      <c r="Y23" t="n">
        <v>25332.37</v>
      </c>
      <c r="Z23" t="n">
        <v>24951.22</v>
      </c>
      <c r="AA23" t="n">
        <v>25507.23</v>
      </c>
      <c r="AB23" t="n">
        <v>24744.93</v>
      </c>
      <c r="AC23" t="n">
        <v>25713.52</v>
      </c>
      <c r="AD23" t="n">
        <v>24570.07</v>
      </c>
    </row>
    <row r="24">
      <c r="A24">
        <f>HYPERLINK("../../data_st50/FEB10_DYNAMIC/FEB09/OTM/NIFTY2621025850CE_strategy.csv", "NIFTY2621025850CE")</f>
        <v/>
      </c>
      <c r="B24" t="inlineStr">
        <is>
          <t>CE</t>
        </is>
      </c>
      <c r="C24" t="inlineStr">
        <is>
          <t>12:59:01</t>
        </is>
      </c>
      <c r="D24" t="inlineStr">
        <is>
          <t>13:24:00</t>
        </is>
      </c>
      <c r="E24" t="n">
        <v>66.8</v>
      </c>
      <c r="F24" t="n">
        <v>70.8</v>
      </c>
      <c r="G24" t="n">
        <v>103516.26</v>
      </c>
      <c r="H24" t="n">
        <v>103516.26</v>
      </c>
      <c r="I24" t="n">
        <v>72461.38</v>
      </c>
      <c r="J24" t="inlineStr">
        <is>
          <t>EXECUTED</t>
        </is>
      </c>
      <c r="K24" t="n">
        <v>18.71</v>
      </c>
      <c r="L24" t="n">
        <v>-7.11</v>
      </c>
      <c r="M24">
        <f>HYPERLINK("../../data_st50/FEB10_DYNAMIC/FEB09/OTM/NIFTY2621025850CE_strategy.html", "View")</f>
        <v/>
      </c>
      <c r="N24" t="inlineStr"/>
      <c r="O24" t="inlineStr"/>
      <c r="P24" t="inlineStr">
        <is>
          <t>BEARISH</t>
        </is>
      </c>
      <c r="Q24" t="inlineStr">
        <is>
          <t>INCLUDED (HYBRID_NEUTRAL_ZONE)</t>
        </is>
      </c>
      <c r="R24" t="n">
        <v>5.99</v>
      </c>
      <c r="S24" t="inlineStr">
        <is>
          <t>SuperTrend Stop Loss Exit</t>
        </is>
      </c>
      <c r="T24" t="n">
        <v>0.4496</v>
      </c>
      <c r="U24" t="n">
        <v>0.5597</v>
      </c>
      <c r="V24" t="inlineStr">
        <is>
          <t>2026-02-09</t>
        </is>
      </c>
      <c r="W24" t="inlineStr">
        <is>
          <t>Above R1</t>
        </is>
      </c>
      <c r="X24" t="n">
        <v>25835.15</v>
      </c>
      <c r="Y24" t="n">
        <v>25767.8</v>
      </c>
      <c r="Z24" t="n">
        <v>25555.75</v>
      </c>
      <c r="AA24" t="n">
        <v>25841.9</v>
      </c>
      <c r="AB24" t="n">
        <v>25417.8</v>
      </c>
      <c r="AC24" t="n">
        <v>25979.85</v>
      </c>
      <c r="AD24" t="n">
        <v>25343.7</v>
      </c>
    </row>
    <row r="25">
      <c r="A25">
        <f>HYPERLINK("../../data_st50/FEB10_DYNAMIC/FEB09/OTM/NIFTY2621025850CE_strategy.csv", "NIFTY2621025850CE")</f>
        <v/>
      </c>
      <c r="B25" t="inlineStr">
        <is>
          <t>CE</t>
        </is>
      </c>
      <c r="C25" t="inlineStr">
        <is>
          <t>12:02:01</t>
        </is>
      </c>
      <c r="D25" t="inlineStr">
        <is>
          <t>12:30:00</t>
        </is>
      </c>
      <c r="E25" t="n">
        <v>74.75</v>
      </c>
      <c r="F25" t="n">
        <v>75.51000000000001</v>
      </c>
      <c r="G25" t="n">
        <v>97666.06</v>
      </c>
      <c r="H25" t="n">
        <v>100000</v>
      </c>
      <c r="I25" t="n">
        <v>70000</v>
      </c>
      <c r="J25" t="inlineStr">
        <is>
          <t>EXECUTED</t>
        </is>
      </c>
      <c r="K25" t="n">
        <v>14.25</v>
      </c>
      <c r="L25" t="n">
        <v>-7.76</v>
      </c>
      <c r="M25">
        <f>HYPERLINK("../../data_st50/FEB10_DYNAMIC/FEB09/OTM/NIFTY2621025850CE_strategy.html", "View")</f>
        <v/>
      </c>
      <c r="N25" t="inlineStr"/>
      <c r="O25" t="inlineStr"/>
      <c r="P25" t="inlineStr">
        <is>
          <t>BEARISH</t>
        </is>
      </c>
      <c r="Q25" t="inlineStr">
        <is>
          <t>INCLUDED (HYBRID_NEUTRAL_ZONE)</t>
        </is>
      </c>
      <c r="R25" t="n">
        <v>1.02</v>
      </c>
      <c r="S25" t="inlineStr">
        <is>
          <t>SuperTrend Stop Loss Exit</t>
        </is>
      </c>
      <c r="T25" t="n">
        <v>0.2914</v>
      </c>
      <c r="U25" t="n">
        <v>0.7754</v>
      </c>
      <c r="V25" t="inlineStr">
        <is>
          <t>2026-02-09</t>
        </is>
      </c>
      <c r="W25" t="inlineStr">
        <is>
          <t>Above R1</t>
        </is>
      </c>
      <c r="X25" t="n">
        <v>25838.04</v>
      </c>
      <c r="Y25" t="n">
        <v>25767.8</v>
      </c>
      <c r="Z25" t="n">
        <v>25555.75</v>
      </c>
      <c r="AA25" t="n">
        <v>25841.9</v>
      </c>
      <c r="AB25" t="n">
        <v>25417.8</v>
      </c>
      <c r="AC25" t="n">
        <v>25979.85</v>
      </c>
      <c r="AD25" t="n">
        <v>25343.7</v>
      </c>
    </row>
    <row r="26">
      <c r="A26">
        <f>HYPERLINK("../../data_st50/FEB10_DYNAMIC/FEB09/OTM/NIFTY2621025850CE_strategy.csv", "NIFTY2621025850CE")</f>
        <v/>
      </c>
      <c r="B26" t="inlineStr">
        <is>
          <t>CE</t>
        </is>
      </c>
      <c r="C26" t="inlineStr">
        <is>
          <t>10:18:01</t>
        </is>
      </c>
      <c r="D26" t="inlineStr">
        <is>
          <t>10:35:00</t>
        </is>
      </c>
      <c r="E26" t="n">
        <v>69</v>
      </c>
      <c r="F26" t="n">
        <v>73.3</v>
      </c>
      <c r="G26" t="n">
        <v>96679.92</v>
      </c>
      <c r="H26" t="n">
        <v>100000</v>
      </c>
      <c r="I26" t="n">
        <v>70000</v>
      </c>
      <c r="J26" t="inlineStr">
        <is>
          <t>EXECUTED</t>
        </is>
      </c>
      <c r="K26" t="n">
        <v>10.14</v>
      </c>
      <c r="L26" t="n">
        <v>-9.57</v>
      </c>
      <c r="M26">
        <f>HYPERLINK("../../data_st50/FEB10_DYNAMIC/FEB09/OTM/NIFTY2621025850CE_strategy.html", "View")</f>
        <v/>
      </c>
      <c r="N26" t="inlineStr"/>
      <c r="O26" t="inlineStr"/>
      <c r="P26" t="inlineStr">
        <is>
          <t>NEUTRAL</t>
        </is>
      </c>
      <c r="Q26" t="inlineStr">
        <is>
          <t>INCLUDED</t>
        </is>
      </c>
      <c r="R26" t="n">
        <v>6.23</v>
      </c>
      <c r="S26" t="inlineStr">
        <is>
          <t>Dynamic Trailing MA (Fast/Slow MA)</t>
        </is>
      </c>
      <c r="T26" t="n">
        <v>0.3504</v>
      </c>
      <c r="U26" t="n">
        <v>0.4795</v>
      </c>
      <c r="V26" t="inlineStr">
        <is>
          <t>2026-02-09</t>
        </is>
      </c>
      <c r="W26" t="inlineStr">
        <is>
          <t>Above R1</t>
        </is>
      </c>
      <c r="X26" t="n">
        <v>25812.31</v>
      </c>
      <c r="Y26" t="n">
        <v>25767.8</v>
      </c>
      <c r="Z26" t="n">
        <v>25555.75</v>
      </c>
      <c r="AA26" t="n">
        <v>25841.9</v>
      </c>
      <c r="AB26" t="n">
        <v>25417.8</v>
      </c>
      <c r="AC26" t="n">
        <v>25979.85</v>
      </c>
      <c r="AD26" t="n">
        <v>25343.7</v>
      </c>
    </row>
    <row r="27">
      <c r="A27">
        <f>HYPERLINK("../../data_st50/FEB10_DYNAMIC/FEB09/OTM/NIFTY2621025800PE_strategy.csv", "NIFTY2621025800PE")</f>
        <v/>
      </c>
      <c r="B27" t="inlineStr">
        <is>
          <t>PE</t>
        </is>
      </c>
      <c r="C27" t="inlineStr">
        <is>
          <t>10:07:01</t>
        </is>
      </c>
      <c r="D27" t="inlineStr">
        <is>
          <t>10:21:00</t>
        </is>
      </c>
      <c r="E27" t="n">
        <v>66.5</v>
      </c>
      <c r="F27" t="n">
        <v>60.52</v>
      </c>
      <c r="G27" t="n">
        <v>91010</v>
      </c>
      <c r="H27" t="n">
        <v>100000</v>
      </c>
      <c r="I27" t="n">
        <v>70000</v>
      </c>
      <c r="J27" t="inlineStr">
        <is>
          <t>EXECUTED</t>
        </is>
      </c>
      <c r="K27" t="n">
        <v>12.71</v>
      </c>
      <c r="L27" t="n">
        <v>-9.77</v>
      </c>
      <c r="M27">
        <f>HYPERLINK("../../data_st50/FEB10_DYNAMIC/FEB09/OTM/NIFTY2621025800PE_strategy.html", "View")</f>
        <v/>
      </c>
      <c r="N27" t="inlineStr"/>
      <c r="O27" t="inlineStr"/>
      <c r="P27" t="inlineStr">
        <is>
          <t>BULLISH</t>
        </is>
      </c>
      <c r="Q27" t="inlineStr">
        <is>
          <t>INCLUDED (HYBRID_NEUTRAL_ZONE)</t>
        </is>
      </c>
      <c r="R27" t="n">
        <v>-8.99</v>
      </c>
      <c r="S27" t="inlineStr">
        <is>
          <t>Fixed Stop Loss</t>
        </is>
      </c>
      <c r="T27" t="n">
        <v>0.4286</v>
      </c>
      <c r="U27" t="n">
        <v>0.5363</v>
      </c>
      <c r="V27" t="inlineStr">
        <is>
          <t>2026-02-09</t>
        </is>
      </c>
      <c r="W27" t="inlineStr">
        <is>
          <t>Above R1</t>
        </is>
      </c>
      <c r="X27" t="n">
        <v>25816.42</v>
      </c>
      <c r="Y27" t="n">
        <v>25767.8</v>
      </c>
      <c r="Z27" t="n">
        <v>25555.75</v>
      </c>
      <c r="AA27" t="n">
        <v>25841.9</v>
      </c>
      <c r="AB27" t="n">
        <v>25417.8</v>
      </c>
      <c r="AC27" t="n">
        <v>25979.85</v>
      </c>
      <c r="AD27" t="n">
        <v>25343.7</v>
      </c>
    </row>
    <row r="28">
      <c r="A28">
        <f>HYPERLINK("../../data_st50/FEB24_DYNAMIC/FEB23/OTM/NIFTY26FEB25750CE_strategy.csv", "NIFTY26FEB25750CE")</f>
        <v/>
      </c>
      <c r="B28" t="inlineStr">
        <is>
          <t>CE</t>
        </is>
      </c>
      <c r="C28" t="inlineStr">
        <is>
          <t>10:36:01</t>
        </is>
      </c>
      <c r="D28" t="inlineStr">
        <is>
          <t>10:37:00</t>
        </is>
      </c>
      <c r="E28" t="n">
        <v>79.65000000000001</v>
      </c>
      <c r="F28" t="n">
        <v>72.48</v>
      </c>
      <c r="G28" t="n">
        <v>82810</v>
      </c>
      <c r="H28" t="n">
        <v>100000</v>
      </c>
      <c r="I28" t="n">
        <v>70000</v>
      </c>
      <c r="J28" t="inlineStr">
        <is>
          <t>EXECUTED</t>
        </is>
      </c>
      <c r="K28" t="n">
        <v>0</v>
      </c>
      <c r="L28" t="n">
        <v>-9.23</v>
      </c>
      <c r="M28">
        <f>HYPERLINK("../../data_st50/FEB24_DYNAMIC/FEB23/OTM/NIFTY26FEB25750CE_strategy.html", "View")</f>
        <v/>
      </c>
      <c r="N28" t="inlineStr"/>
      <c r="O28" t="inlineStr"/>
      <c r="P28" t="inlineStr">
        <is>
          <t>BULLISH</t>
        </is>
      </c>
      <c r="Q28" t="inlineStr">
        <is>
          <t>INCLUDED (HYBRID_NEUTRAL_ZONE)</t>
        </is>
      </c>
      <c r="R28" t="n">
        <v>-9</v>
      </c>
      <c r="S28" t="inlineStr">
        <is>
          <t>Fixed Stop Loss</t>
        </is>
      </c>
      <c r="T28" t="n">
        <v>0.2468</v>
      </c>
      <c r="U28" t="inlineStr"/>
      <c r="V28" t="inlineStr">
        <is>
          <t>2026-02-23</t>
        </is>
      </c>
      <c r="W28" t="inlineStr">
        <is>
          <t>Above R1</t>
        </is>
      </c>
      <c r="X28" t="n">
        <v>25703.15</v>
      </c>
      <c r="Y28" t="n">
        <v>25696.62</v>
      </c>
      <c r="Z28" t="n">
        <v>25412.82</v>
      </c>
      <c r="AA28" t="n">
        <v>25821.98</v>
      </c>
      <c r="AB28" t="n">
        <v>25254.38</v>
      </c>
      <c r="AC28" t="n">
        <v>25980.42</v>
      </c>
      <c r="AD28" t="n">
        <v>25129.02</v>
      </c>
    </row>
    <row r="29">
      <c r="A29">
        <f>HYPERLINK("../../data_st50/FEB24_DYNAMIC/FEB23/OTM/NIFTY26FEB25750CE_strategy.csv", "NIFTY26FEB25750CE")</f>
        <v/>
      </c>
      <c r="B29" t="inlineStr">
        <is>
          <t>CE</t>
        </is>
      </c>
      <c r="C29" t="inlineStr">
        <is>
          <t>10:17:01</t>
        </is>
      </c>
      <c r="D29" t="inlineStr">
        <is>
          <t>10:27:00</t>
        </is>
      </c>
      <c r="E29" t="n">
        <v>87.7</v>
      </c>
      <c r="F29" t="n">
        <v>79.81</v>
      </c>
      <c r="G29" t="n">
        <v>91000</v>
      </c>
      <c r="H29" t="n">
        <v>100000</v>
      </c>
      <c r="I29" t="n">
        <v>70000</v>
      </c>
      <c r="J29" t="inlineStr">
        <is>
          <t>EXECUTED</t>
        </is>
      </c>
      <c r="K29" t="n">
        <v>9.119999999999999</v>
      </c>
      <c r="L29" t="n">
        <v>-9.460000000000001</v>
      </c>
      <c r="M29">
        <f>HYPERLINK("../../data_st50/FEB24_DYNAMIC/FEB23/OTM/NIFTY26FEB25750CE_strategy.html", "View")</f>
        <v/>
      </c>
      <c r="N29" t="inlineStr"/>
      <c r="O29" t="inlineStr"/>
      <c r="P29" t="inlineStr">
        <is>
          <t>BEARISH</t>
        </is>
      </c>
      <c r="Q29" t="inlineStr">
        <is>
          <t>INCLUDED (HYBRID_NEUTRAL_ZONE)</t>
        </is>
      </c>
      <c r="R29" t="n">
        <v>-9</v>
      </c>
      <c r="S29" t="inlineStr">
        <is>
          <t>Fixed Stop Loss</t>
        </is>
      </c>
      <c r="T29" t="n">
        <v>0.3298</v>
      </c>
      <c r="U29" t="n">
        <v>0.3791</v>
      </c>
      <c r="V29" t="inlineStr">
        <is>
          <t>2026-02-23</t>
        </is>
      </c>
      <c r="W29" t="inlineStr">
        <is>
          <t>Above R1</t>
        </is>
      </c>
      <c r="X29" t="n">
        <v>25725.25</v>
      </c>
      <c r="Y29" t="n">
        <v>25696.62</v>
      </c>
      <c r="Z29" t="n">
        <v>25412.82</v>
      </c>
      <c r="AA29" t="n">
        <v>25821.98</v>
      </c>
      <c r="AB29" t="n">
        <v>25254.38</v>
      </c>
      <c r="AC29" t="n">
        <v>25980.42</v>
      </c>
      <c r="AD29" t="n">
        <v>25129.02</v>
      </c>
    </row>
    <row r="30">
      <c r="A30">
        <f>HYPERLINK("../../data_st50/MAR02_DYNAMIC/FEB25/OTM/NIFTY2630225600PE_strategy.csv", "NIFTY2630225600PE")</f>
        <v/>
      </c>
      <c r="B30" t="inlineStr">
        <is>
          <t>PE</t>
        </is>
      </c>
      <c r="C30" t="inlineStr">
        <is>
          <t>12:20:01</t>
        </is>
      </c>
      <c r="D30" t="inlineStr">
        <is>
          <t>13:00:00</t>
        </is>
      </c>
      <c r="E30" t="n">
        <v>118.8</v>
      </c>
      <c r="F30" t="n">
        <v>208.55</v>
      </c>
      <c r="G30" t="n">
        <v>185794.37</v>
      </c>
      <c r="H30" t="n">
        <v>185794.37</v>
      </c>
      <c r="I30" t="n">
        <v>130056.06</v>
      </c>
      <c r="J30" t="inlineStr">
        <is>
          <t>EXECUTED</t>
        </is>
      </c>
      <c r="K30" t="n">
        <v>90.40000000000001</v>
      </c>
      <c r="L30" t="n">
        <v>-4.63</v>
      </c>
      <c r="M30">
        <f>HYPERLINK("../../data_st50/MAR02_DYNAMIC/FEB25/OTM/NIFTY2630225600PE_strategy.html", "View")</f>
        <v/>
      </c>
      <c r="N30" t="inlineStr"/>
      <c r="O30" t="inlineStr"/>
      <c r="P30" t="inlineStr">
        <is>
          <t>NEUTRAL</t>
        </is>
      </c>
      <c r="Q30" t="inlineStr">
        <is>
          <t>INCLUDED</t>
        </is>
      </c>
      <c r="R30" t="n">
        <v>75.55</v>
      </c>
      <c r="S30" t="inlineStr">
        <is>
          <t>Dynamic Trailing MA (Fast/Slow MA)</t>
        </is>
      </c>
      <c r="T30" t="n">
        <v>0.504</v>
      </c>
      <c r="U30" t="n">
        <v>0.7271</v>
      </c>
      <c r="V30" t="inlineStr">
        <is>
          <t>2026-02-25</t>
        </is>
      </c>
      <c r="W30" t="inlineStr">
        <is>
          <t>Above R1</t>
        </is>
      </c>
      <c r="X30" t="n">
        <v>25607.29</v>
      </c>
      <c r="Y30" t="n">
        <v>25601.77</v>
      </c>
      <c r="Z30" t="n">
        <v>25287.57</v>
      </c>
      <c r="AA30" t="n">
        <v>25778.88</v>
      </c>
      <c r="AB30" t="n">
        <v>25150.48</v>
      </c>
      <c r="AC30" t="n">
        <v>25915.97</v>
      </c>
      <c r="AD30" t="n">
        <v>24973.37</v>
      </c>
    </row>
    <row r="31">
      <c r="A31">
        <f>HYPERLINK("../../data_st50/MAR02_DYNAMIC/FEB25/OTM/NIFTY2630225600PE_strategy.csv", "NIFTY2630225600PE")</f>
        <v/>
      </c>
      <c r="B31" t="inlineStr">
        <is>
          <t>PE</t>
        </is>
      </c>
      <c r="C31" t="inlineStr">
        <is>
          <t>11:53:01</t>
        </is>
      </c>
      <c r="D31" t="inlineStr">
        <is>
          <t>12:05:00</t>
        </is>
      </c>
      <c r="E31" t="n">
        <v>115.5</v>
      </c>
      <c r="F31" t="n">
        <v>116.06</v>
      </c>
      <c r="G31" t="n">
        <v>105835.58</v>
      </c>
      <c r="H31" t="n">
        <v>105835.58</v>
      </c>
      <c r="I31" t="n">
        <v>74084.91</v>
      </c>
      <c r="J31" t="inlineStr">
        <is>
          <t>EXECUTED</t>
        </is>
      </c>
      <c r="K31" t="n">
        <v>10.35</v>
      </c>
      <c r="L31" t="n">
        <v>-3.85</v>
      </c>
      <c r="M31">
        <f>HYPERLINK("../../data_st50/MAR02_DYNAMIC/FEB25/OTM/NIFTY2630225600PE_strategy.html", "View")</f>
        <v/>
      </c>
      <c r="N31" t="inlineStr"/>
      <c r="O31" t="inlineStr"/>
      <c r="P31" t="inlineStr">
        <is>
          <t>NEUTRAL</t>
        </is>
      </c>
      <c r="Q31" t="inlineStr">
        <is>
          <t>INCLUDED</t>
        </is>
      </c>
      <c r="R31" t="n">
        <v>0.48</v>
      </c>
      <c r="S31" t="inlineStr">
        <is>
          <t>SuperTrend Stop Loss Exit</t>
        </is>
      </c>
      <c r="T31" t="n">
        <v>0.6204</v>
      </c>
      <c r="U31" t="n">
        <v>0.6844</v>
      </c>
      <c r="V31" t="inlineStr">
        <is>
          <t>2026-02-25</t>
        </is>
      </c>
      <c r="W31" t="inlineStr">
        <is>
          <t>Above R1</t>
        </is>
      </c>
      <c r="X31" t="n">
        <v>25612.69</v>
      </c>
      <c r="Y31" t="n">
        <v>25601.77</v>
      </c>
      <c r="Z31" t="n">
        <v>25287.57</v>
      </c>
      <c r="AA31" t="n">
        <v>25778.88</v>
      </c>
      <c r="AB31" t="n">
        <v>25150.48</v>
      </c>
      <c r="AC31" t="n">
        <v>25915.97</v>
      </c>
      <c r="AD31" t="n">
        <v>24973.37</v>
      </c>
    </row>
    <row r="32">
      <c r="A32">
        <f>HYPERLINK("../../data_st50/MAR02_DYNAMIC/FEB25/OTM/NIFTY2630225600PE_strategy.csv", "NIFTY2630225600PE")</f>
        <v/>
      </c>
      <c r="B32" t="inlineStr">
        <is>
          <t>PE</t>
        </is>
      </c>
      <c r="C32" t="inlineStr">
        <is>
          <t>10:38:01</t>
        </is>
      </c>
      <c r="D32" t="inlineStr">
        <is>
          <t>11:30:00</t>
        </is>
      </c>
      <c r="E32" t="n">
        <v>109.85</v>
      </c>
      <c r="F32" t="n">
        <v>115.7</v>
      </c>
      <c r="G32" t="n">
        <v>105330</v>
      </c>
      <c r="H32" t="n">
        <v>105330</v>
      </c>
      <c r="I32" t="n">
        <v>73731</v>
      </c>
      <c r="J32" t="inlineStr">
        <is>
          <t>EXECUTED</t>
        </is>
      </c>
      <c r="K32" t="n">
        <v>9.380000000000001</v>
      </c>
      <c r="L32" t="n">
        <v>-5.23</v>
      </c>
      <c r="M32">
        <f>HYPERLINK("../../data_st50/MAR02_DYNAMIC/FEB25/OTM/NIFTY2630225600PE_strategy.html", "View")</f>
        <v/>
      </c>
      <c r="N32" t="inlineStr"/>
      <c r="O32" t="inlineStr"/>
      <c r="P32" t="inlineStr">
        <is>
          <t>BULLISH</t>
        </is>
      </c>
      <c r="Q32" t="inlineStr">
        <is>
          <t>INCLUDED (HYBRID_NEUTRAL_ZONE)</t>
        </is>
      </c>
      <c r="R32" t="n">
        <v>5.33</v>
      </c>
      <c r="S32" t="inlineStr">
        <is>
          <t>Dynamic Trailing MA (Fast/Slow MA)</t>
        </is>
      </c>
      <c r="T32" t="n">
        <v>0.5763</v>
      </c>
      <c r="U32" t="n">
        <v>0.6425</v>
      </c>
      <c r="V32" t="inlineStr">
        <is>
          <t>2026-02-25</t>
        </is>
      </c>
      <c r="W32" t="inlineStr">
        <is>
          <t>Above R1</t>
        </is>
      </c>
      <c r="X32" t="n">
        <v>25632.1</v>
      </c>
      <c r="Y32" t="n">
        <v>25601.77</v>
      </c>
      <c r="Z32" t="n">
        <v>25287.57</v>
      </c>
      <c r="AA32" t="n">
        <v>25778.88</v>
      </c>
      <c r="AB32" t="n">
        <v>25150.48</v>
      </c>
      <c r="AC32" t="n">
        <v>25915.97</v>
      </c>
      <c r="AD32" t="n">
        <v>24973.37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2026-03-15T10:04:31Z</dcterms:created>
  <dcterms:modified xsi:type="dcterms:W3CDTF">2026-03-15T10:04:31Z</dcterms:modified>
</cp:coreProperties>
</file>