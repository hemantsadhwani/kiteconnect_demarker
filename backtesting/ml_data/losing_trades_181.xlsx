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sing Tr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supertrend1</t>
        </is>
      </c>
      <c r="C1" s="1" t="inlineStr">
        <is>
          <t>supertrend1_dir</t>
        </is>
      </c>
      <c r="D1" s="1" t="inlineStr">
        <is>
          <t>k</t>
        </is>
      </c>
      <c r="E1" s="1" t="inlineStr">
        <is>
          <t>d</t>
        </is>
      </c>
      <c r="F1" s="1" t="inlineStr">
        <is>
          <t>fast_wpr</t>
        </is>
      </c>
      <c r="G1" s="1" t="inlineStr">
        <is>
          <t>slow_wpr</t>
        </is>
      </c>
      <c r="H1" s="1" t="inlineStr">
        <is>
          <t>fast_ma</t>
        </is>
      </c>
      <c r="I1" s="1" t="inlineStr">
        <is>
          <t>slow_ma</t>
        </is>
      </c>
      <c r="J1" s="1" t="inlineStr">
        <is>
          <t>date</t>
        </is>
      </c>
      <c r="K1" s="1" t="inlineStr">
        <is>
          <t>nifty_930_sentiment</t>
        </is>
      </c>
      <c r="L1" s="1" t="inlineStr">
        <is>
          <t>pivot_sentiment</t>
        </is>
      </c>
      <c r="M1" s="1" t="inlineStr">
        <is>
          <t>option_type</t>
        </is>
      </c>
      <c r="N1" s="1" t="inlineStr">
        <is>
          <t>entry_time</t>
        </is>
      </c>
      <c r="O1" s="1" t="inlineStr">
        <is>
          <t>exit_time</t>
        </is>
      </c>
      <c r="P1" s="1" t="inlineStr">
        <is>
          <t>entry_price</t>
        </is>
      </c>
      <c r="Q1" s="1" t="inlineStr">
        <is>
          <t>exit_price</t>
        </is>
      </c>
      <c r="R1" s="1" t="inlineStr">
        <is>
          <t>running_capital</t>
        </is>
      </c>
      <c r="S1" s="1" t="inlineStr">
        <is>
          <t>high_water_mark</t>
        </is>
      </c>
      <c r="T1" s="1" t="inlineStr">
        <is>
          <t>drawdown_limit</t>
        </is>
      </c>
      <c r="U1" s="1" t="inlineStr">
        <is>
          <t>trade_status</t>
        </is>
      </c>
      <c r="V1" s="1" t="inlineStr">
        <is>
          <t>high</t>
        </is>
      </c>
      <c r="W1" s="1" t="inlineStr">
        <is>
          <t>swing_low</t>
        </is>
      </c>
      <c r="X1" s="1" t="inlineStr">
        <is>
          <t>symbol_html</t>
        </is>
      </c>
      <c r="Y1" s="1" t="inlineStr">
        <is>
          <t>realized_pnl_pct</t>
        </is>
      </c>
      <c r="Z1" s="1" t="inlineStr">
        <is>
          <t>trade_status_reason</t>
        </is>
      </c>
      <c r="AA1" s="1" t="inlineStr">
        <is>
          <t>market_sentiment</t>
        </is>
      </c>
      <c r="AB1" s="1" t="inlineStr">
        <is>
          <t>filter_status</t>
        </is>
      </c>
      <c r="AC1" s="1" t="inlineStr">
        <is>
          <t>sentiment_pnl</t>
        </is>
      </c>
      <c r="AD1" s="1" t="inlineStr">
        <is>
          <t>exit_reason</t>
        </is>
      </c>
      <c r="AE1" s="1" t="inlineStr">
        <is>
          <t>pnl</t>
        </is>
      </c>
      <c r="AF1" s="1" t="inlineStr">
        <is>
          <t>high_abs</t>
        </is>
      </c>
      <c r="AG1" s="1" t="inlineStr">
        <is>
          <t>swing_low_abs</t>
        </is>
      </c>
      <c r="AH1" s="1" t="inlineStr">
        <is>
          <t>skip_first</t>
        </is>
      </c>
    </row>
    <row r="2">
      <c r="A2" s="2">
        <f>HYPERLINK("file:///C:/Users/Hemant/OneDrive/Documents/Projects/kiteconnect_demarker/backtesting/data_st50/DEC02_DYNAMIC/NOV27/OTM/NIFTY25D0226200CE_strategy.csv", "NIFTY25D0226200CE")</f>
        <v/>
      </c>
      <c r="B2" t="n">
        <v>116.05</v>
      </c>
      <c r="C2" t="n">
        <v>-1</v>
      </c>
      <c r="D2" t="n">
        <v>94.31999999999999</v>
      </c>
      <c r="E2" t="n">
        <v>88.98</v>
      </c>
      <c r="F2" t="n">
        <v>-35.68</v>
      </c>
      <c r="G2" t="n">
        <v>-76.67</v>
      </c>
      <c r="H2" t="n">
        <v>104.59</v>
      </c>
      <c r="I2" t="n">
        <v>107.51</v>
      </c>
      <c r="J2" t="inlineStr">
        <is>
          <t>2025-11-27</t>
        </is>
      </c>
      <c r="K2" t="inlineStr">
        <is>
          <t>BEARISH</t>
        </is>
      </c>
      <c r="L2" t="inlineStr">
        <is>
          <t>BULLISH</t>
        </is>
      </c>
      <c r="M2" t="inlineStr">
        <is>
          <t>CE</t>
        </is>
      </c>
      <c r="N2" t="inlineStr">
        <is>
          <t>13:35:01</t>
        </is>
      </c>
      <c r="O2" t="inlineStr">
        <is>
          <t>13:39:00</t>
        </is>
      </c>
      <c r="P2" t="n">
        <v>110.55</v>
      </c>
      <c r="Q2" t="n">
        <v>100.05</v>
      </c>
      <c r="R2" t="n">
        <v>68488.88</v>
      </c>
      <c r="S2" t="n">
        <v>100000</v>
      </c>
      <c r="T2" t="n">
        <v>70000</v>
      </c>
      <c r="U2" t="inlineStr">
        <is>
          <t>EXECUTED</t>
        </is>
      </c>
      <c r="V2" t="n">
        <v>-100</v>
      </c>
      <c r="W2" t="n">
        <v>-108.4667571234735</v>
      </c>
      <c r="X2" s="2">
        <f>HYPERLINK("file:///C:/Users/Hemant/OneDrive/Documents/Projects/kiteconnect_demarker/backtesting/data_st50/DEC02_DYNAMIC/NOV27/OTM/NIFTY25D0226200CE_strategy.html", "View")</f>
        <v/>
      </c>
      <c r="AA2" t="inlineStr">
        <is>
          <t>BEARISH</t>
        </is>
      </c>
      <c r="AB2" t="inlineStr">
        <is>
          <t>INCLUDED (HYBRID_NEUTRAL_ZONE)</t>
        </is>
      </c>
      <c r="AC2" t="n">
        <v>-9.5</v>
      </c>
      <c r="AD2" t="inlineStr">
        <is>
          <t>Fixed Stop Loss</t>
        </is>
      </c>
      <c r="AE2" t="n">
        <v>-9.5</v>
      </c>
      <c r="AF2" t="n">
        <v>0</v>
      </c>
      <c r="AG2" t="n">
        <v>-9.359999999999999</v>
      </c>
      <c r="AH2" t="n">
        <v>0</v>
      </c>
    </row>
    <row r="3">
      <c r="A3" s="2">
        <f>HYPERLINK("file:///C:/Users/Hemant/OneDrive/Documents/Projects/kiteconnect_demarker/backtesting/data_st50/DEC02_DYNAMIC/NOV27/OTM/NIFTY25D0226300CE_strategy.csv", "NIFTY25D0226300CE")</f>
        <v/>
      </c>
      <c r="B3" t="n">
        <v>118.02</v>
      </c>
      <c r="C3" t="n">
        <v>-1</v>
      </c>
      <c r="D3" t="n">
        <v>85.12</v>
      </c>
      <c r="E3" t="n">
        <v>54.36</v>
      </c>
      <c r="F3" t="n">
        <v>-44.07</v>
      </c>
      <c r="G3" t="n">
        <v>-74.52</v>
      </c>
      <c r="H3" t="n">
        <v>110.9</v>
      </c>
      <c r="I3" t="n">
        <v>112.77</v>
      </c>
      <c r="J3" t="inlineStr">
        <is>
          <t>2025-11-27</t>
        </is>
      </c>
      <c r="K3" t="inlineStr">
        <is>
          <t>BULLISH</t>
        </is>
      </c>
      <c r="L3" t="inlineStr">
        <is>
          <t>BULLISH</t>
        </is>
      </c>
      <c r="M3" t="inlineStr">
        <is>
          <t>CE</t>
        </is>
      </c>
      <c r="N3" t="inlineStr">
        <is>
          <t>11:36:01</t>
        </is>
      </c>
      <c r="O3" t="inlineStr">
        <is>
          <t>11:47:00</t>
        </is>
      </c>
      <c r="P3" t="n">
        <v>112.3</v>
      </c>
      <c r="Q3" t="n">
        <v>101.63</v>
      </c>
      <c r="R3" t="n">
        <v>75678.32000000001</v>
      </c>
      <c r="S3" t="n">
        <v>100000</v>
      </c>
      <c r="T3" t="n">
        <v>70000</v>
      </c>
      <c r="U3" t="inlineStr">
        <is>
          <t>EXECUTED</t>
        </is>
      </c>
      <c r="V3" t="n">
        <v>-98.6553873552983</v>
      </c>
      <c r="W3" t="n">
        <v>-106.260017809439</v>
      </c>
      <c r="X3" s="2">
        <f>HYPERLINK("file:///C:/Users/Hemant/OneDrive/Documents/Projects/kiteconnect_demarker/backtesting/data_st50/DEC02_DYNAMIC/NOV27/OTM/NIFTY25D0226300CE_strategy.html", "View")</f>
        <v/>
      </c>
      <c r="AA3" t="inlineStr">
        <is>
          <t>BEARISH</t>
        </is>
      </c>
      <c r="AB3" t="inlineStr">
        <is>
          <t>INCLUDED (HYBRID_NEUTRAL_ZONE)</t>
        </is>
      </c>
      <c r="AC3" t="n">
        <v>-9.5</v>
      </c>
      <c r="AD3" t="inlineStr">
        <is>
          <t>Fixed Stop Loss</t>
        </is>
      </c>
      <c r="AE3" t="n">
        <v>-9.5</v>
      </c>
      <c r="AF3" t="n">
        <v>1.51</v>
      </c>
      <c r="AG3" t="n">
        <v>-7.03</v>
      </c>
      <c r="AH3" t="n">
        <v>0</v>
      </c>
    </row>
    <row r="4">
      <c r="A4" s="2">
        <f>HYPERLINK("file:///C:/Users/Hemant/OneDrive/Documents/Projects/kiteconnect_demarker/backtesting/data_st50/DEC02_DYNAMIC/NOV27/OTM/NIFTY25D0226300CE_strategy.csv", "NIFTY25D0226300CE")</f>
        <v/>
      </c>
      <c r="B4" t="n">
        <v>124.44</v>
      </c>
      <c r="C4" t="n">
        <v>-1</v>
      </c>
      <c r="D4" t="n">
        <v>36.35</v>
      </c>
      <c r="E4" t="n">
        <v>34.44</v>
      </c>
      <c r="F4" t="n">
        <v>-66.93000000000001</v>
      </c>
      <c r="G4" t="n">
        <v>-88.23999999999999</v>
      </c>
      <c r="H4" t="n">
        <v>115.42</v>
      </c>
      <c r="I4" t="n">
        <v>117.97</v>
      </c>
      <c r="J4" t="inlineStr">
        <is>
          <t>2025-11-27</t>
        </is>
      </c>
      <c r="K4" t="inlineStr">
        <is>
          <t>BULLISH</t>
        </is>
      </c>
      <c r="L4" t="inlineStr">
        <is>
          <t>BULLISH</t>
        </is>
      </c>
      <c r="M4" t="inlineStr">
        <is>
          <t>CE</t>
        </is>
      </c>
      <c r="N4" t="inlineStr">
        <is>
          <t>11:27:01</t>
        </is>
      </c>
      <c r="O4" t="inlineStr">
        <is>
          <t>11:33:00</t>
        </is>
      </c>
      <c r="P4" t="n">
        <v>116.85</v>
      </c>
      <c r="Q4" t="n">
        <v>105.75</v>
      </c>
      <c r="R4" t="n">
        <v>83622.45</v>
      </c>
      <c r="S4" t="n">
        <v>100000</v>
      </c>
      <c r="T4" t="n">
        <v>70000</v>
      </c>
      <c r="U4" t="inlineStr">
        <is>
          <t>EXECUTED</t>
        </is>
      </c>
      <c r="V4" t="n">
        <v>-100</v>
      </c>
      <c r="W4" t="n">
        <v>-103.2263585793753</v>
      </c>
      <c r="X4" s="2">
        <f>HYPERLINK("file:///C:/Users/Hemant/OneDrive/Documents/Projects/kiteconnect_demarker/backtesting/data_st50/DEC02_DYNAMIC/NOV27/OTM/NIFTY25D0226300CE_strategy.html", "View")</f>
        <v/>
      </c>
      <c r="AA4" t="inlineStr">
        <is>
          <t>NEUTRAL</t>
        </is>
      </c>
      <c r="AB4" t="inlineStr">
        <is>
          <t>INCLUDED</t>
        </is>
      </c>
      <c r="AC4" t="n">
        <v>-9.5</v>
      </c>
      <c r="AD4" t="inlineStr">
        <is>
          <t>Fixed Stop Loss</t>
        </is>
      </c>
      <c r="AE4" t="n">
        <v>-9.5</v>
      </c>
      <c r="AF4" t="n">
        <v>0</v>
      </c>
      <c r="AG4" t="n">
        <v>-3.77</v>
      </c>
      <c r="AH4" t="n">
        <v>0</v>
      </c>
    </row>
    <row r="5">
      <c r="A5" s="2">
        <f>HYPERLINK("file:///C:/Users/Hemant/OneDrive/Documents/Projects/kiteconnect_demarker/backtesting/data_st50/DEC02_DYNAMIC/NOV27/OTM/NIFTY25D0226250PE_strategy.csv", "NIFTY25D0226250PE")</f>
        <v/>
      </c>
      <c r="B5" t="n">
        <v>95.92</v>
      </c>
      <c r="C5" t="n">
        <v>-1</v>
      </c>
      <c r="D5" t="n">
        <v>93.78</v>
      </c>
      <c r="E5" t="n">
        <v>73.7</v>
      </c>
      <c r="F5" t="n">
        <v>-5.73</v>
      </c>
      <c r="G5" t="n">
        <v>-68.89</v>
      </c>
      <c r="H5" t="n">
        <v>87.73</v>
      </c>
      <c r="I5" t="n">
        <v>90.98</v>
      </c>
      <c r="J5" t="inlineStr">
        <is>
          <t>2025-11-27</t>
        </is>
      </c>
      <c r="K5" t="inlineStr">
        <is>
          <t>BEARISH</t>
        </is>
      </c>
      <c r="L5" t="inlineStr">
        <is>
          <t>BULLISH</t>
        </is>
      </c>
      <c r="M5" t="inlineStr">
        <is>
          <t>PE</t>
        </is>
      </c>
      <c r="N5" t="inlineStr">
        <is>
          <t>10:11:01</t>
        </is>
      </c>
      <c r="O5" t="inlineStr">
        <is>
          <t>10:48:00</t>
        </is>
      </c>
      <c r="P5" t="n">
        <v>92.95</v>
      </c>
      <c r="Q5" t="n">
        <v>84.12</v>
      </c>
      <c r="R5" t="n">
        <v>90500</v>
      </c>
      <c r="S5" t="n">
        <v>100000</v>
      </c>
      <c r="T5" t="n">
        <v>70000</v>
      </c>
      <c r="U5" t="inlineStr">
        <is>
          <t>EXECUTED</t>
        </is>
      </c>
      <c r="V5" t="n">
        <v>-94.44862829478214</v>
      </c>
      <c r="W5" t="n">
        <v>-111.6299085529855</v>
      </c>
      <c r="X5" s="2">
        <f>HYPERLINK("file:///C:/Users/Hemant/OneDrive/Documents/Projects/kiteconnect_demarker/backtesting/data_st50/DEC02_DYNAMIC/NOV27/OTM/NIFTY25D0226250PE_strategy.html", "View")</f>
        <v/>
      </c>
      <c r="AA5" t="inlineStr">
        <is>
          <t>BEARISH</t>
        </is>
      </c>
      <c r="AB5" t="inlineStr">
        <is>
          <t>INCLUDED (HYBRID_NEUTRAL_ZONE)</t>
        </is>
      </c>
      <c r="AC5" t="n">
        <v>-9.5</v>
      </c>
      <c r="AD5" t="inlineStr">
        <is>
          <t>Fixed Stop Loss</t>
        </is>
      </c>
      <c r="AE5" t="n">
        <v>-9.5</v>
      </c>
      <c r="AF5" t="n">
        <v>5.16</v>
      </c>
      <c r="AG5" t="n">
        <v>-10.81</v>
      </c>
      <c r="AH5" t="n">
        <v>0</v>
      </c>
    </row>
    <row r="6">
      <c r="A6" s="2">
        <f>HYPERLINK("file:///C:/Users/Hemant/OneDrive/Documents/Projects/kiteconnect_demarker/backtesting/data_st50/DEC02_DYNAMIC/NOV28/OTM/NIFTY25D0226250PE_strategy.csv", "NIFTY25D0226250PE")</f>
        <v/>
      </c>
      <c r="B6" t="n">
        <v>91.97</v>
      </c>
      <c r="C6" t="n">
        <v>-1</v>
      </c>
      <c r="D6" t="n">
        <v>93.86</v>
      </c>
      <c r="E6" t="n">
        <v>74.81999999999999</v>
      </c>
      <c r="F6" t="n">
        <v>-7.66</v>
      </c>
      <c r="G6" t="n">
        <v>-50.57</v>
      </c>
      <c r="H6" t="n">
        <v>82.81999999999999</v>
      </c>
      <c r="I6" t="n">
        <v>84.5</v>
      </c>
      <c r="J6" t="inlineStr">
        <is>
          <t>2025-11-28</t>
        </is>
      </c>
      <c r="K6" t="inlineStr">
        <is>
          <t>BULLISH</t>
        </is>
      </c>
      <c r="L6" t="inlineStr">
        <is>
          <t>BULLISH</t>
        </is>
      </c>
      <c r="M6" t="inlineStr">
        <is>
          <t>PE</t>
        </is>
      </c>
      <c r="N6" t="inlineStr">
        <is>
          <t>10:14:01</t>
        </is>
      </c>
      <c r="O6" t="inlineStr">
        <is>
          <t>10:32:00</t>
        </is>
      </c>
      <c r="P6" t="n">
        <v>87.2</v>
      </c>
      <c r="Q6" t="n">
        <v>83.67</v>
      </c>
      <c r="R6" t="n">
        <v>68886.67</v>
      </c>
      <c r="S6" t="n">
        <v>100000</v>
      </c>
      <c r="T6" t="n">
        <v>70000</v>
      </c>
      <c r="U6" t="inlineStr">
        <is>
          <t>EXECUTED</t>
        </is>
      </c>
      <c r="V6" t="n">
        <v>-85.47018348623853</v>
      </c>
      <c r="W6" t="n">
        <v>-109.4036697247707</v>
      </c>
      <c r="X6" s="2">
        <f>HYPERLINK("file:///C:/Users/Hemant/OneDrive/Documents/Projects/kiteconnect_demarker/backtesting/data_st50/DEC02_DYNAMIC/NOV28/OTM/NIFTY25D0226250PE_strategy.html", "View")</f>
        <v/>
      </c>
      <c r="AA6" t="inlineStr">
        <is>
          <t>BEARISH</t>
        </is>
      </c>
      <c r="AB6" t="inlineStr">
        <is>
          <t>INCLUDED (HYBRID_NEUTRAL_ZONE)</t>
        </is>
      </c>
      <c r="AC6" t="n">
        <v>-4.05</v>
      </c>
      <c r="AD6" t="inlineStr">
        <is>
          <t>SuperTrend Stop Loss Exit</t>
        </is>
      </c>
      <c r="AE6" t="n">
        <v>-4.05</v>
      </c>
      <c r="AF6" t="n">
        <v>12.67</v>
      </c>
      <c r="AG6" t="n">
        <v>-8.199999999999999</v>
      </c>
      <c r="AH6" t="n">
        <v>0</v>
      </c>
    </row>
    <row r="7">
      <c r="A7" s="2">
        <f>HYPERLINK("file:///C:/Users/Hemant/OneDrive/Documents/Projects/kiteconnect_demarker/backtesting/data_st50/DEC02_DYNAMIC/NOV28/OTM/NIFTY25D0226250CE_strategy.csv", "NIFTY25D0226250CE")</f>
        <v/>
      </c>
      <c r="B7" t="n">
        <v>115.96</v>
      </c>
      <c r="C7" t="n">
        <v>-1</v>
      </c>
      <c r="D7" t="n">
        <v>43.53</v>
      </c>
      <c r="E7" t="n">
        <v>29.82</v>
      </c>
      <c r="F7" t="n">
        <v>-52.84</v>
      </c>
      <c r="G7" t="n">
        <v>-47.16</v>
      </c>
      <c r="H7" t="n">
        <v>103.22</v>
      </c>
      <c r="I7" t="n">
        <v>103.49</v>
      </c>
      <c r="J7" t="inlineStr">
        <is>
          <t>2025-11-28</t>
        </is>
      </c>
      <c r="K7" t="inlineStr">
        <is>
          <t>BULLISH</t>
        </is>
      </c>
      <c r="L7" t="inlineStr">
        <is>
          <t>BULLISH</t>
        </is>
      </c>
      <c r="M7" t="inlineStr">
        <is>
          <t>CE</t>
        </is>
      </c>
      <c r="N7" t="inlineStr">
        <is>
          <t>09:42:01</t>
        </is>
      </c>
      <c r="O7" t="inlineStr">
        <is>
          <t>09:45:00</t>
        </is>
      </c>
      <c r="P7" t="n">
        <v>106.6</v>
      </c>
      <c r="Q7" t="n">
        <v>96.47</v>
      </c>
      <c r="R7" t="n">
        <v>74121.75999999999</v>
      </c>
      <c r="S7" t="n">
        <v>100000</v>
      </c>
      <c r="T7" t="n">
        <v>70000</v>
      </c>
      <c r="U7" t="inlineStr">
        <is>
          <t>EXECUTED</t>
        </is>
      </c>
      <c r="V7" t="n">
        <v>-100</v>
      </c>
      <c r="W7" t="n">
        <v>-113.9024390243902</v>
      </c>
      <c r="X7" s="2">
        <f>HYPERLINK("file:///C:/Users/Hemant/OneDrive/Documents/Projects/kiteconnect_demarker/backtesting/data_st50/DEC02_DYNAMIC/NOV28/OTM/NIFTY25D0226250CE_strategy.html", "View")</f>
        <v/>
      </c>
      <c r="AA7" t="inlineStr">
        <is>
          <t>BULLISH</t>
        </is>
      </c>
      <c r="AB7" t="inlineStr">
        <is>
          <t>INCLUDED (HYBRID_NEUTRAL_ZONE)</t>
        </is>
      </c>
      <c r="AC7" t="n">
        <v>-9.5</v>
      </c>
      <c r="AD7" t="inlineStr">
        <is>
          <t>Fixed Stop Loss</t>
        </is>
      </c>
      <c r="AE7" t="n">
        <v>-9.5</v>
      </c>
      <c r="AF7" t="n">
        <v>0</v>
      </c>
      <c r="AG7" t="n">
        <v>-14.82</v>
      </c>
      <c r="AH7" t="n">
        <v>0</v>
      </c>
    </row>
    <row r="8">
      <c r="A8" s="2">
        <f>HYPERLINK("file:///C:/Users/Hemant/OneDrive/Documents/Projects/kiteconnect_demarker/backtesting/data_st50/DEC02_DYNAMIC/NOV28/OTM/NIFTY25D0226200PE_strategy.csv", "NIFTY25D0226200PE")</f>
        <v/>
      </c>
      <c r="B8" t="n">
        <v>83.95999999999999</v>
      </c>
      <c r="C8" t="n">
        <v>-1</v>
      </c>
      <c r="D8" t="n">
        <v>57.76</v>
      </c>
      <c r="E8" t="n">
        <v>33.24</v>
      </c>
      <c r="F8" t="n">
        <v>-2.52</v>
      </c>
      <c r="G8" t="n">
        <v>-55.57</v>
      </c>
      <c r="H8" t="n">
        <v>74.73999999999999</v>
      </c>
      <c r="I8" t="n">
        <v>76.65000000000001</v>
      </c>
      <c r="J8" t="inlineStr">
        <is>
          <t>2025-11-28</t>
        </is>
      </c>
      <c r="K8" t="inlineStr">
        <is>
          <t>BEARISH</t>
        </is>
      </c>
      <c r="L8" t="inlineStr">
        <is>
          <t>BEARISH</t>
        </is>
      </c>
      <c r="M8" t="inlineStr">
        <is>
          <t>PE</t>
        </is>
      </c>
      <c r="N8" t="inlineStr">
        <is>
          <t>09:37:01</t>
        </is>
      </c>
      <c r="O8" t="inlineStr">
        <is>
          <t>09:48:00</t>
        </is>
      </c>
      <c r="P8" t="n">
        <v>74.84999999999999</v>
      </c>
      <c r="Q8" t="n">
        <v>72.5</v>
      </c>
      <c r="R8" t="n">
        <v>71794.34</v>
      </c>
      <c r="S8" t="n">
        <v>100000</v>
      </c>
      <c r="T8" t="n">
        <v>70000</v>
      </c>
      <c r="U8" t="inlineStr">
        <is>
          <t>EXECUTED</t>
        </is>
      </c>
      <c r="V8" t="n">
        <v>-78.31663326653306</v>
      </c>
      <c r="W8" t="n">
        <v>-115.0835003340013</v>
      </c>
      <c r="X8" s="2">
        <f>HYPERLINK("file:///C:/Users/Hemant/OneDrive/Documents/Projects/kiteconnect_demarker/backtesting/data_st50/DEC02_DYNAMIC/NOV28/OTM/NIFTY25D0226200PE_strategy.html", "View")</f>
        <v/>
      </c>
      <c r="AA8" t="inlineStr">
        <is>
          <t>BULLISH</t>
        </is>
      </c>
      <c r="AB8" t="inlineStr">
        <is>
          <t>INCLUDED (HYBRID_NEUTRAL_ZONE)</t>
        </is>
      </c>
      <c r="AC8" t="n">
        <v>-3.14</v>
      </c>
      <c r="AD8" t="inlineStr">
        <is>
          <t>Dynamic Trailing MA (Fast/Slow MA)</t>
        </is>
      </c>
      <c r="AE8" t="n">
        <v>-3.14</v>
      </c>
      <c r="AF8" t="n">
        <v>16.23</v>
      </c>
      <c r="AG8" t="n">
        <v>-11.29</v>
      </c>
      <c r="AH8" t="n">
        <v>0</v>
      </c>
    </row>
    <row r="9">
      <c r="A9" s="2">
        <f>HYPERLINK("file:///C:/Users/Hemant/OneDrive/Documents/Projects/kiteconnect_demarker/backtesting/data_st50/DEC02_DYNAMIC/NOV28/OTM/NIFTY25D0226200PE_strategy.csv", "NIFTY25D0226200PE")</f>
        <v/>
      </c>
      <c r="B9" t="n">
        <v>89.83</v>
      </c>
      <c r="C9" t="n">
        <v>-1</v>
      </c>
      <c r="D9" t="n">
        <v>46.21</v>
      </c>
      <c r="E9" t="n">
        <v>43.5</v>
      </c>
      <c r="F9" t="n">
        <v>-84.31999999999999</v>
      </c>
      <c r="G9" t="n">
        <v>-89.63</v>
      </c>
      <c r="H9" t="n">
        <v>79.70999999999999</v>
      </c>
      <c r="I9" t="n">
        <v>79.63</v>
      </c>
      <c r="J9" t="inlineStr">
        <is>
          <t>2025-11-28</t>
        </is>
      </c>
      <c r="K9" t="inlineStr">
        <is>
          <t>BULLISH</t>
        </is>
      </c>
      <c r="L9" t="inlineStr">
        <is>
          <t>BULLISH</t>
        </is>
      </c>
      <c r="M9" t="inlineStr">
        <is>
          <t>PE</t>
        </is>
      </c>
      <c r="N9" t="inlineStr">
        <is>
          <t>09:31:01</t>
        </is>
      </c>
      <c r="O9" t="inlineStr">
        <is>
          <t>09:34:00</t>
        </is>
      </c>
      <c r="P9" t="n">
        <v>78.75</v>
      </c>
      <c r="Q9" t="n">
        <v>71.27</v>
      </c>
      <c r="R9" t="n">
        <v>81902.5</v>
      </c>
      <c r="S9" t="n">
        <v>100000</v>
      </c>
      <c r="T9" t="n">
        <v>70000</v>
      </c>
      <c r="U9" t="inlineStr">
        <is>
          <t>EXECUTED</t>
        </is>
      </c>
      <c r="V9" t="n">
        <v>-100</v>
      </c>
      <c r="W9" t="n">
        <v>-111.9365079365079</v>
      </c>
      <c r="X9" s="2">
        <f>HYPERLINK("file:///C:/Users/Hemant/OneDrive/Documents/Projects/kiteconnect_demarker/backtesting/data_st50/DEC02_DYNAMIC/NOV28/OTM/NIFTY25D0226200PE_strategy.html", "View")</f>
        <v/>
      </c>
      <c r="AA9" t="inlineStr">
        <is>
          <t>NEUTRAL</t>
        </is>
      </c>
      <c r="AB9" t="inlineStr">
        <is>
          <t>INCLUDED</t>
        </is>
      </c>
      <c r="AC9" t="n">
        <v>-9.5</v>
      </c>
      <c r="AD9" t="inlineStr">
        <is>
          <t>Fixed Stop Loss</t>
        </is>
      </c>
      <c r="AE9" t="n">
        <v>-9.5</v>
      </c>
      <c r="AF9" t="n">
        <v>0</v>
      </c>
      <c r="AG9" t="n">
        <v>-9.4</v>
      </c>
      <c r="AH9" t="n">
        <v>0</v>
      </c>
    </row>
    <row r="10">
      <c r="A10" s="2">
        <f>HYPERLINK("file:///C:/Users/Hemant/OneDrive/Documents/Projects/kiteconnect_demarker/backtesting/data_st50/DEC02_DYNAMIC/NOV28/OTM/NIFTY25D0226200PE_strategy.csv", "NIFTY25D0226200PE")</f>
        <v/>
      </c>
      <c r="B10" t="n">
        <v>90.70999999999999</v>
      </c>
      <c r="C10" t="n">
        <v>-1</v>
      </c>
      <c r="D10" t="n">
        <v>57.59</v>
      </c>
      <c r="E10" t="n">
        <v>41.67</v>
      </c>
      <c r="F10" t="n">
        <v>-63.14</v>
      </c>
      <c r="G10" t="n">
        <v>-63.14</v>
      </c>
      <c r="H10" t="n">
        <v>80.73999999999999</v>
      </c>
      <c r="I10" t="n">
        <v>81.97</v>
      </c>
      <c r="J10" t="inlineStr">
        <is>
          <t>2025-11-28</t>
        </is>
      </c>
      <c r="K10" t="inlineStr">
        <is>
          <t>BEARISH</t>
        </is>
      </c>
      <c r="L10" t="inlineStr">
        <is>
          <t>BEARISH</t>
        </is>
      </c>
      <c r="M10" t="inlineStr">
        <is>
          <t>PE</t>
        </is>
      </c>
      <c r="N10" t="inlineStr">
        <is>
          <t>09:23:01</t>
        </is>
      </c>
      <c r="O10" t="inlineStr">
        <is>
          <t>09:27:00</t>
        </is>
      </c>
      <c r="P10" t="n">
        <v>83.05</v>
      </c>
      <c r="Q10" t="n">
        <v>75.16</v>
      </c>
      <c r="R10" t="n">
        <v>90500</v>
      </c>
      <c r="S10" t="n">
        <v>100000</v>
      </c>
      <c r="T10" t="n">
        <v>70000</v>
      </c>
      <c r="U10" t="inlineStr">
        <is>
          <t>EXECUTED</t>
        </is>
      </c>
      <c r="V10" t="n">
        <v>-92.46237206502107</v>
      </c>
      <c r="W10" t="n">
        <v>-113.0523780854907</v>
      </c>
      <c r="X10" s="2">
        <f>HYPERLINK("file:///C:/Users/Hemant/OneDrive/Documents/Projects/kiteconnect_demarker/backtesting/data_st50/DEC02_DYNAMIC/NOV28/OTM/NIFTY25D0226200PE_strategy.html", "View")</f>
        <v/>
      </c>
      <c r="AA10" t="inlineStr">
        <is>
          <t>NEUTRAL</t>
        </is>
      </c>
      <c r="AB10" t="inlineStr">
        <is>
          <t>INCLUDED</t>
        </is>
      </c>
      <c r="AC10" t="n">
        <v>-9.5</v>
      </c>
      <c r="AD10" t="inlineStr">
        <is>
          <t>Fixed Stop Loss</t>
        </is>
      </c>
      <c r="AE10" t="n">
        <v>-9.5</v>
      </c>
      <c r="AF10" t="n">
        <v>6.26</v>
      </c>
      <c r="AG10" t="n">
        <v>-10.84</v>
      </c>
      <c r="AH10" t="n">
        <v>0</v>
      </c>
    </row>
    <row r="11">
      <c r="A11" s="2">
        <f>HYPERLINK("file:///C:/Users/Hemant/OneDrive/Documents/Projects/kiteconnect_demarker/backtesting/data_st50/DEC02_DYNAMIC/DEC01/OTM/NIFTY25D0226200CE_strategy.csv", "NIFTY25D0226200CE")</f>
        <v/>
      </c>
      <c r="B11" t="n">
        <v>66.84</v>
      </c>
      <c r="C11" t="n">
        <v>-1</v>
      </c>
      <c r="D11" t="n">
        <v>32.53</v>
      </c>
      <c r="E11" t="n">
        <v>24.48</v>
      </c>
      <c r="F11" t="n">
        <v>-57.14</v>
      </c>
      <c r="G11" t="n">
        <v>-79.65000000000001</v>
      </c>
      <c r="H11" t="n">
        <v>60.47</v>
      </c>
      <c r="I11" t="n">
        <v>62.03</v>
      </c>
      <c r="J11" t="inlineStr">
        <is>
          <t>2025-12-01</t>
        </is>
      </c>
      <c r="K11" t="inlineStr">
        <is>
          <t>BEARISH</t>
        </is>
      </c>
      <c r="L11" t="inlineStr">
        <is>
          <t>BEARISH</t>
        </is>
      </c>
      <c r="M11" t="inlineStr">
        <is>
          <t>CE</t>
        </is>
      </c>
      <c r="N11" t="inlineStr">
        <is>
          <t>13:33:01</t>
        </is>
      </c>
      <c r="O11" t="inlineStr">
        <is>
          <t>13:34:00</t>
        </is>
      </c>
      <c r="P11" t="n">
        <v>62.3</v>
      </c>
      <c r="Q11" t="n">
        <v>56.38</v>
      </c>
      <c r="R11" t="n">
        <v>65190.41</v>
      </c>
      <c r="S11" t="n">
        <v>100000</v>
      </c>
      <c r="T11" t="n">
        <v>70000</v>
      </c>
      <c r="U11" t="inlineStr">
        <is>
          <t>EXECUTED</t>
        </is>
      </c>
      <c r="V11" t="n">
        <v>-100</v>
      </c>
      <c r="W11" t="n">
        <v>-115.5858747993579</v>
      </c>
      <c r="X11" s="2">
        <f>HYPERLINK("file:///C:/Users/Hemant/OneDrive/Documents/Projects/kiteconnect_demarker/backtesting/data_st50/DEC02_DYNAMIC/DEC01/OTM/NIFTY25D0226200CE_strategy.html", "View")</f>
        <v/>
      </c>
      <c r="AA11" t="inlineStr">
        <is>
          <t>BEARISH</t>
        </is>
      </c>
      <c r="AB11" t="inlineStr">
        <is>
          <t>INCLUDED (HYBRID_NEUTRAL_ZONE)</t>
        </is>
      </c>
      <c r="AC11" t="n">
        <v>-9.5</v>
      </c>
      <c r="AD11" t="inlineStr">
        <is>
          <t>Fixed Stop Loss</t>
        </is>
      </c>
      <c r="AE11" t="n">
        <v>-9.5</v>
      </c>
      <c r="AF11" t="n">
        <v>0</v>
      </c>
      <c r="AG11" t="n">
        <v>-9.710000000000001</v>
      </c>
      <c r="AH11" t="n">
        <v>0</v>
      </c>
    </row>
    <row r="12">
      <c r="A12" s="2">
        <f>HYPERLINK("file:///C:/Users/Hemant/OneDrive/Documents/Projects/kiteconnect_demarker/backtesting/data_st50/DEC02_DYNAMIC/DEC01/OTM/NIFTY25D0226150PE_strategy.csv", "NIFTY25D0226150PE")</f>
        <v/>
      </c>
      <c r="B12" t="n">
        <v>61.06</v>
      </c>
      <c r="C12" t="n">
        <v>-1</v>
      </c>
      <c r="D12" t="n">
        <v>55.05</v>
      </c>
      <c r="E12" t="n">
        <v>39.72</v>
      </c>
      <c r="F12" t="n">
        <v>-57.58</v>
      </c>
      <c r="G12" t="n">
        <v>-84.86</v>
      </c>
      <c r="H12" t="n">
        <v>53.68</v>
      </c>
      <c r="I12" t="n">
        <v>54.91</v>
      </c>
      <c r="J12" t="inlineStr">
        <is>
          <t>2025-12-01</t>
        </is>
      </c>
      <c r="K12" t="inlineStr">
        <is>
          <t>BEARISH</t>
        </is>
      </c>
      <c r="L12" t="inlineStr">
        <is>
          <t>BEARISH</t>
        </is>
      </c>
      <c r="M12" t="inlineStr">
        <is>
          <t>PE</t>
        </is>
      </c>
      <c r="N12" t="inlineStr">
        <is>
          <t>13:04:01</t>
        </is>
      </c>
      <c r="O12" t="inlineStr">
        <is>
          <t>13:13:00</t>
        </is>
      </c>
      <c r="P12" t="n">
        <v>54.8</v>
      </c>
      <c r="Q12" t="n">
        <v>49.59</v>
      </c>
      <c r="R12" t="n">
        <v>72033.61</v>
      </c>
      <c r="S12" t="n">
        <v>100000</v>
      </c>
      <c r="T12" t="n">
        <v>70000</v>
      </c>
      <c r="U12" t="inlineStr">
        <is>
          <t>EXECUTED</t>
        </is>
      </c>
      <c r="V12" t="n">
        <v>-95.51094890510949</v>
      </c>
      <c r="W12" t="n">
        <v>-114.3248175182482</v>
      </c>
      <c r="X12" s="2">
        <f>HYPERLINK("file:///C:/Users/Hemant/OneDrive/Documents/Projects/kiteconnect_demarker/backtesting/data_st50/DEC02_DYNAMIC/DEC01/OTM/NIFTY25D0226150PE_strategy.html", "View")</f>
        <v/>
      </c>
      <c r="AA12" t="inlineStr">
        <is>
          <t>BEARISH</t>
        </is>
      </c>
      <c r="AB12" t="inlineStr">
        <is>
          <t>INCLUDED (HYBRID_NEUTRAL_ZONE)</t>
        </is>
      </c>
      <c r="AC12" t="n">
        <v>-9.51</v>
      </c>
      <c r="AD12" t="inlineStr">
        <is>
          <t>Fixed Stop Loss</t>
        </is>
      </c>
      <c r="AE12" t="n">
        <v>-9.51</v>
      </c>
      <c r="AF12" t="n">
        <v>2.46</v>
      </c>
      <c r="AG12" t="n">
        <v>-7.85</v>
      </c>
      <c r="AH12" t="n">
        <v>0</v>
      </c>
    </row>
    <row r="13">
      <c r="A13" s="2">
        <f>HYPERLINK("file:///C:/Users/Hemant/OneDrive/Documents/Projects/kiteconnect_demarker/backtesting/data_st50/DEC02_DYNAMIC/DEC01/OTM/NIFTY25D0226200PE_strategy.csv", "NIFTY25D0226200PE")</f>
        <v/>
      </c>
      <c r="B13" t="n">
        <v>50.78</v>
      </c>
      <c r="C13" t="n">
        <v>-1</v>
      </c>
      <c r="D13" t="n">
        <v>35</v>
      </c>
      <c r="E13" t="n">
        <v>26.97</v>
      </c>
      <c r="F13" t="n">
        <v>-55.42</v>
      </c>
      <c r="G13" t="n">
        <v>-73.19</v>
      </c>
      <c r="H13" t="n">
        <v>44.13</v>
      </c>
      <c r="I13" t="n">
        <v>45.61</v>
      </c>
      <c r="J13" t="inlineStr">
        <is>
          <t>2025-12-01</t>
        </is>
      </c>
      <c r="K13" t="inlineStr">
        <is>
          <t>BEARISH</t>
        </is>
      </c>
      <c r="L13" t="inlineStr">
        <is>
          <t>BULLISH</t>
        </is>
      </c>
      <c r="M13" t="inlineStr">
        <is>
          <t>PE</t>
        </is>
      </c>
      <c r="N13" t="inlineStr">
        <is>
          <t>11:20:01</t>
        </is>
      </c>
      <c r="O13" t="inlineStr">
        <is>
          <t>11:28:00</t>
        </is>
      </c>
      <c r="P13" t="n">
        <v>46.35</v>
      </c>
      <c r="Q13" t="n">
        <v>41.95</v>
      </c>
      <c r="R13" t="n">
        <v>79215.78</v>
      </c>
      <c r="S13" t="n">
        <v>100000</v>
      </c>
      <c r="T13" t="n">
        <v>70000</v>
      </c>
      <c r="U13" t="inlineStr">
        <is>
          <t>EXECUTED</t>
        </is>
      </c>
      <c r="V13" t="n">
        <v>-100</v>
      </c>
      <c r="W13" t="n">
        <v>-126.9902912621359</v>
      </c>
      <c r="X13" s="2">
        <f>HYPERLINK("file:///C:/Users/Hemant/OneDrive/Documents/Projects/kiteconnect_demarker/backtesting/data_st50/DEC02_DYNAMIC/DEC01/OTM/NIFTY25D0226200PE_strategy.html", "View")</f>
        <v/>
      </c>
      <c r="AA13" t="inlineStr">
        <is>
          <t>NEUTRAL</t>
        </is>
      </c>
      <c r="AB13" t="inlineStr">
        <is>
          <t>INCLUDED</t>
        </is>
      </c>
      <c r="AC13" t="n">
        <v>-9.49</v>
      </c>
      <c r="AD13" t="inlineStr">
        <is>
          <t>Fixed Stop Loss</t>
        </is>
      </c>
      <c r="AE13" t="n">
        <v>-9.49</v>
      </c>
      <c r="AF13" t="n">
        <v>0</v>
      </c>
      <c r="AG13" t="n">
        <v>-12.51</v>
      </c>
      <c r="AH13" t="n">
        <v>0</v>
      </c>
    </row>
    <row r="14">
      <c r="A14" s="2">
        <f>HYPERLINK("file:///C:/Users/Hemant/OneDrive/Documents/Projects/kiteconnect_demarker/backtesting/data_st50/DEC02_DYNAMIC/DEC01/OTM/NIFTY25D0226300CE_strategy.csv", "NIFTY25D0226300CE")</f>
        <v/>
      </c>
      <c r="B14" t="n">
        <v>79.22</v>
      </c>
      <c r="C14" t="n">
        <v>-1</v>
      </c>
      <c r="D14" t="n">
        <v>50.59</v>
      </c>
      <c r="E14" t="n">
        <v>32.93</v>
      </c>
      <c r="F14" t="n">
        <v>-24.03</v>
      </c>
      <c r="G14" t="n">
        <v>-75.31999999999999</v>
      </c>
      <c r="H14" t="n">
        <v>71.34</v>
      </c>
      <c r="I14" t="n">
        <v>73.31</v>
      </c>
      <c r="J14" t="inlineStr">
        <is>
          <t>2025-12-01</t>
        </is>
      </c>
      <c r="K14" t="inlineStr">
        <is>
          <t>BEARISH</t>
        </is>
      </c>
      <c r="L14" t="inlineStr">
        <is>
          <t>BULLISH</t>
        </is>
      </c>
      <c r="M14" t="inlineStr">
        <is>
          <t>CE</t>
        </is>
      </c>
      <c r="N14" t="inlineStr">
        <is>
          <t>10:02:01</t>
        </is>
      </c>
      <c r="O14" t="inlineStr">
        <is>
          <t>10:38:00</t>
        </is>
      </c>
      <c r="P14" t="n">
        <v>72.75</v>
      </c>
      <c r="Q14" t="n">
        <v>65.84</v>
      </c>
      <c r="R14" t="n">
        <v>71733.12</v>
      </c>
      <c r="S14" t="n">
        <v>100000</v>
      </c>
      <c r="T14" t="n">
        <v>70000</v>
      </c>
      <c r="U14" t="inlineStr">
        <is>
          <t>EXECUTED</t>
        </is>
      </c>
      <c r="V14" t="n">
        <v>-89.51202749140894</v>
      </c>
      <c r="W14" t="n">
        <v>-111.5189003436426</v>
      </c>
      <c r="X14" s="2">
        <f>HYPERLINK("file:///C:/Users/Hemant/OneDrive/Documents/Projects/kiteconnect_demarker/backtesting/data_st50/DEC02_DYNAMIC/DEC01/OTM/NIFTY25D0226300CE_strategy.html", "View")</f>
        <v/>
      </c>
      <c r="AA14" t="inlineStr">
        <is>
          <t>BULLISH</t>
        </is>
      </c>
      <c r="AB14" t="inlineStr">
        <is>
          <t>INCLUDED (HYBRID_NEUTRAL_ZONE)</t>
        </is>
      </c>
      <c r="AC14" t="n">
        <v>-9.5</v>
      </c>
      <c r="AD14" t="inlineStr">
        <is>
          <t>Fixed Stop Loss</t>
        </is>
      </c>
      <c r="AE14" t="n">
        <v>-9.5</v>
      </c>
      <c r="AF14" t="n">
        <v>7.63</v>
      </c>
      <c r="AG14" t="n">
        <v>-8.380000000000001</v>
      </c>
      <c r="AH14" t="n">
        <v>0</v>
      </c>
    </row>
    <row r="15">
      <c r="A15" s="2">
        <f>HYPERLINK("file:///C:/Users/Hemant/OneDrive/Documents/Projects/kiteconnect_demarker/backtesting/data_st50/DEC02_DYNAMIC/DEC01/OTM/NIFTY25D0226300CE_strategy.csv", "NIFTY25D0226300CE")</f>
        <v/>
      </c>
      <c r="B15" t="n">
        <v>87.98</v>
      </c>
      <c r="C15" t="n">
        <v>-1</v>
      </c>
      <c r="D15" t="n">
        <v>45.45</v>
      </c>
      <c r="E15" t="n">
        <v>31.91</v>
      </c>
      <c r="F15" t="n">
        <v>-36.7</v>
      </c>
      <c r="G15" t="n">
        <v>-50.44</v>
      </c>
      <c r="H15" t="n">
        <v>79.39</v>
      </c>
      <c r="I15" t="n">
        <v>80.88</v>
      </c>
      <c r="J15" t="inlineStr">
        <is>
          <t>2025-12-01</t>
        </is>
      </c>
      <c r="K15" t="inlineStr">
        <is>
          <t>BULLISH</t>
        </is>
      </c>
      <c r="L15" t="inlineStr">
        <is>
          <t>BULLISH</t>
        </is>
      </c>
      <c r="M15" t="inlineStr">
        <is>
          <t>CE</t>
        </is>
      </c>
      <c r="N15" t="inlineStr">
        <is>
          <t>09:49:01</t>
        </is>
      </c>
      <c r="O15" t="inlineStr">
        <is>
          <t>09:52:00</t>
        </is>
      </c>
      <c r="P15" t="n">
        <v>81.65000000000001</v>
      </c>
      <c r="Q15" t="n">
        <v>73.89</v>
      </c>
      <c r="R15" t="n">
        <v>74105.38</v>
      </c>
      <c r="S15" t="n">
        <v>100000</v>
      </c>
      <c r="T15" t="n">
        <v>70000</v>
      </c>
      <c r="U15" t="inlineStr">
        <is>
          <t>EXECUTED</t>
        </is>
      </c>
      <c r="V15" t="n">
        <v>-99.54684629516227</v>
      </c>
      <c r="W15" t="n">
        <v>-110.8756889161053</v>
      </c>
      <c r="X15" s="2">
        <f>HYPERLINK("file:///C:/Users/Hemant/OneDrive/Documents/Projects/kiteconnect_demarker/backtesting/data_st50/DEC02_DYNAMIC/DEC01/OTM/NIFTY25D0226300CE_strategy.html", "View")</f>
        <v/>
      </c>
      <c r="AA15" t="inlineStr">
        <is>
          <t>NEUTRAL</t>
        </is>
      </c>
      <c r="AB15" t="inlineStr">
        <is>
          <t>INCLUDED</t>
        </is>
      </c>
      <c r="AC15" t="n">
        <v>-9.5</v>
      </c>
      <c r="AD15" t="inlineStr">
        <is>
          <t>Fixed Stop Loss</t>
        </is>
      </c>
      <c r="AE15" t="n">
        <v>-9.5</v>
      </c>
      <c r="AF15" t="n">
        <v>0.37</v>
      </c>
      <c r="AG15" t="n">
        <v>-8.880000000000001</v>
      </c>
      <c r="AH15" t="n">
        <v>0</v>
      </c>
    </row>
    <row r="16">
      <c r="A16" s="2">
        <f>HYPERLINK("file:///C:/Users/Hemant/OneDrive/Documents/Projects/kiteconnect_demarker/backtesting/data_st50/DEC02_DYNAMIC/DEC01/OTM/NIFTY25D0226250PE_strategy.csv", "NIFTY25D0226250PE")</f>
        <v/>
      </c>
      <c r="B16" t="n">
        <v>65.67</v>
      </c>
      <c r="C16" t="n">
        <v>-1</v>
      </c>
      <c r="D16" t="n">
        <v>54.01</v>
      </c>
      <c r="E16" t="n">
        <v>42.77</v>
      </c>
      <c r="F16" t="n">
        <v>-49.7</v>
      </c>
      <c r="G16" t="n">
        <v>-77.08</v>
      </c>
      <c r="H16" t="n">
        <v>50.73</v>
      </c>
      <c r="I16" t="n">
        <v>60.91</v>
      </c>
      <c r="J16" t="inlineStr">
        <is>
          <t>2025-12-01</t>
        </is>
      </c>
      <c r="K16" t="inlineStr">
        <is>
          <t>BEARISH</t>
        </is>
      </c>
      <c r="L16" t="inlineStr">
        <is>
          <t>BULLISH</t>
        </is>
      </c>
      <c r="M16" t="inlineStr">
        <is>
          <t>PE</t>
        </is>
      </c>
      <c r="N16" t="inlineStr">
        <is>
          <t>09:24:01</t>
        </is>
      </c>
      <c r="O16" t="inlineStr">
        <is>
          <t>09:25:00</t>
        </is>
      </c>
      <c r="P16" t="n">
        <v>53.65</v>
      </c>
      <c r="Q16" t="n">
        <v>48.55</v>
      </c>
      <c r="R16" t="n">
        <v>81884.39999999999</v>
      </c>
      <c r="S16" t="n">
        <v>100000</v>
      </c>
      <c r="T16" t="n">
        <v>70000</v>
      </c>
      <c r="U16" t="inlineStr">
        <is>
          <t>EXECUTED</t>
        </is>
      </c>
      <c r="V16" t="n">
        <v>-100</v>
      </c>
      <c r="W16" t="n">
        <v>-123.6160298229264</v>
      </c>
      <c r="X16" s="2">
        <f>HYPERLINK("file:///C:/Users/Hemant/OneDrive/Documents/Projects/kiteconnect_demarker/backtesting/data_st50/DEC02_DYNAMIC/DEC01/OTM/NIFTY25D0226250PE_strategy.html", "View")</f>
        <v/>
      </c>
      <c r="AA16" t="inlineStr">
        <is>
          <t>BEARISH</t>
        </is>
      </c>
      <c r="AB16" t="inlineStr">
        <is>
          <t>INCLUDED (HYBRID_NEUTRAL_ZONE)</t>
        </is>
      </c>
      <c r="AC16" t="n">
        <v>-9.51</v>
      </c>
      <c r="AD16" t="inlineStr">
        <is>
          <t>Fixed Stop Loss</t>
        </is>
      </c>
      <c r="AE16" t="n">
        <v>-9.51</v>
      </c>
      <c r="AF16" t="n">
        <v>0</v>
      </c>
      <c r="AG16" t="n">
        <v>-12.67</v>
      </c>
      <c r="AH16" t="n">
        <v>0</v>
      </c>
    </row>
    <row r="17">
      <c r="A17" s="2">
        <f>HYPERLINK("file:///C:/Users/Hemant/OneDrive/Documents/Projects/kiteconnect_demarker/backtesting/data_st50/DEC02_DYNAMIC/DEC01/OTM/NIFTY25D0226250PE_strategy.csv", "NIFTY25D0226250PE")</f>
        <v/>
      </c>
      <c r="B17" t="n">
        <v>67.56999999999999</v>
      </c>
      <c r="C17" t="n">
        <v>-1</v>
      </c>
      <c r="D17" t="n">
        <v>33.52</v>
      </c>
      <c r="E17" t="n">
        <v>26.72</v>
      </c>
      <c r="F17" t="n">
        <v>-73.22</v>
      </c>
      <c r="G17" t="n">
        <v>-77.41</v>
      </c>
      <c r="H17" t="n">
        <v>58.46</v>
      </c>
      <c r="I17" t="n">
        <v>65.95999999999999</v>
      </c>
      <c r="J17" t="inlineStr">
        <is>
          <t>2025-12-01</t>
        </is>
      </c>
      <c r="K17" t="inlineStr">
        <is>
          <t>BEARISH</t>
        </is>
      </c>
      <c r="L17" t="inlineStr">
        <is>
          <t>BULLISH</t>
        </is>
      </c>
      <c r="M17" t="inlineStr">
        <is>
          <t>PE</t>
        </is>
      </c>
      <c r="N17" t="inlineStr">
        <is>
          <t>09:21:01</t>
        </is>
      </c>
      <c r="O17" t="inlineStr">
        <is>
          <t>09:22:00</t>
        </is>
      </c>
      <c r="P17" t="n">
        <v>53.65</v>
      </c>
      <c r="Q17" t="n">
        <v>48.55</v>
      </c>
      <c r="R17" t="n">
        <v>90490</v>
      </c>
      <c r="S17" t="n">
        <v>100000</v>
      </c>
      <c r="T17" t="n">
        <v>70000</v>
      </c>
      <c r="U17" t="inlineStr">
        <is>
          <t>EXECUTED</t>
        </is>
      </c>
      <c r="V17" t="n">
        <v>-100</v>
      </c>
      <c r="W17" t="n">
        <v>-124.4920782851817</v>
      </c>
      <c r="X17" s="2">
        <f>HYPERLINK("file:///C:/Users/Hemant/OneDrive/Documents/Projects/kiteconnect_demarker/backtesting/data_st50/DEC02_DYNAMIC/DEC01/OTM/NIFTY25D0226250PE_strategy.html", "View")</f>
        <v/>
      </c>
      <c r="AA17" t="inlineStr">
        <is>
          <t>BEARISH</t>
        </is>
      </c>
      <c r="AB17" t="inlineStr">
        <is>
          <t>INCLUDED (HYBRID_NEUTRAL_ZONE)</t>
        </is>
      </c>
      <c r="AC17" t="n">
        <v>-9.51</v>
      </c>
      <c r="AD17" t="inlineStr">
        <is>
          <t>Fixed Stop Loss</t>
        </is>
      </c>
      <c r="AE17" t="n">
        <v>-9.51</v>
      </c>
      <c r="AF17" t="n">
        <v>0</v>
      </c>
      <c r="AG17" t="n">
        <v>-13.14</v>
      </c>
      <c r="AH17" t="n">
        <v>0</v>
      </c>
    </row>
    <row r="18">
      <c r="A18" s="2">
        <f>HYPERLINK("file:///C:/Users/Hemant/OneDrive/Documents/Projects/kiteconnect_demarker/backtesting/data_st50/DEC09_DYNAMIC/DEC03/OTM/NIFTY25D0925900PE_strategy.csv", "NIFTY25D0925900PE")</f>
        <v/>
      </c>
      <c r="B18" t="n">
        <v>102.71</v>
      </c>
      <c r="C18" t="n">
        <v>-1</v>
      </c>
      <c r="D18" t="n">
        <v>71.83</v>
      </c>
      <c r="E18" t="n">
        <v>51.72</v>
      </c>
      <c r="F18" t="n">
        <v>-48.02</v>
      </c>
      <c r="G18" t="n">
        <v>-74.89</v>
      </c>
      <c r="H18" t="n">
        <v>96.08</v>
      </c>
      <c r="I18" t="n">
        <v>98.78</v>
      </c>
      <c r="J18" t="inlineStr">
        <is>
          <t>2025-12-03</t>
        </is>
      </c>
      <c r="K18" t="inlineStr">
        <is>
          <t>BEARISH</t>
        </is>
      </c>
      <c r="M18" t="inlineStr">
        <is>
          <t>PE</t>
        </is>
      </c>
      <c r="N18" t="inlineStr">
        <is>
          <t>11:44:01</t>
        </is>
      </c>
      <c r="O18" t="inlineStr">
        <is>
          <t>12:11:00</t>
        </is>
      </c>
      <c r="P18" t="n">
        <v>98.15000000000001</v>
      </c>
      <c r="Q18" t="n">
        <v>88.83</v>
      </c>
      <c r="R18" t="n">
        <v>88135.31</v>
      </c>
      <c r="S18" t="n">
        <v>100000</v>
      </c>
      <c r="T18" t="n">
        <v>70000</v>
      </c>
      <c r="U18" t="inlineStr">
        <is>
          <t>EXECUTED</t>
        </is>
      </c>
      <c r="V18" t="n">
        <v>-98.54304635761588</v>
      </c>
      <c r="W18" t="n">
        <v>-107.366276107998</v>
      </c>
      <c r="X18" s="2">
        <f>HYPERLINK("file:///C:/Users/Hemant/OneDrive/Documents/Projects/kiteconnect_demarker/backtesting/data_st50/DEC09_DYNAMIC/DEC03/OTM/NIFTY25D0925900PE_strategy.html", "View")</f>
        <v/>
      </c>
      <c r="AA18" t="inlineStr">
        <is>
          <t>NEUTRAL</t>
        </is>
      </c>
      <c r="AB18" t="inlineStr">
        <is>
          <t>INCLUDED</t>
        </is>
      </c>
      <c r="AC18" t="n">
        <v>-9.5</v>
      </c>
      <c r="AD18" t="inlineStr">
        <is>
          <t>Fixed Stop Loss</t>
        </is>
      </c>
      <c r="AE18" t="n">
        <v>-9.5</v>
      </c>
      <c r="AF18" t="n">
        <v>1.43</v>
      </c>
      <c r="AG18" t="n">
        <v>-7.23</v>
      </c>
      <c r="AH18" t="n">
        <v>0</v>
      </c>
    </row>
    <row r="19">
      <c r="A19" s="2">
        <f>HYPERLINK("file:///C:/Users/Hemant/OneDrive/Documents/Projects/kiteconnect_demarker/backtesting/data_st50/DEC09_DYNAMIC/DEC04/OTM/NIFTY25D0926050CE_strategy.csv", "NIFTY25D0926050CE")</f>
        <v/>
      </c>
      <c r="B19" t="n">
        <v>122.91</v>
      </c>
      <c r="C19" t="n">
        <v>-1</v>
      </c>
      <c r="D19" t="n">
        <v>60.62</v>
      </c>
      <c r="E19" t="n">
        <v>47.92</v>
      </c>
      <c r="F19" t="n">
        <v>-34.31</v>
      </c>
      <c r="G19" t="n">
        <v>-71.37</v>
      </c>
      <c r="H19" t="n">
        <v>110.51</v>
      </c>
      <c r="I19" t="n">
        <v>115.9</v>
      </c>
      <c r="J19" t="inlineStr">
        <is>
          <t>2025-12-04</t>
        </is>
      </c>
      <c r="K19" t="inlineStr">
        <is>
          <t>BULLISH</t>
        </is>
      </c>
      <c r="M19" t="inlineStr">
        <is>
          <t>CE</t>
        </is>
      </c>
      <c r="N19" t="inlineStr">
        <is>
          <t>11:49:01</t>
        </is>
      </c>
      <c r="O19" t="inlineStr">
        <is>
          <t>12:20:00</t>
        </is>
      </c>
      <c r="P19" t="n">
        <v>111.7</v>
      </c>
      <c r="Q19" t="n">
        <v>101.09</v>
      </c>
      <c r="R19" t="n">
        <v>147430.39</v>
      </c>
      <c r="S19" t="n">
        <v>162906.51</v>
      </c>
      <c r="T19" t="n">
        <v>114034.55</v>
      </c>
      <c r="U19" t="inlineStr">
        <is>
          <t>EXECUTED</t>
        </is>
      </c>
      <c r="V19" t="n">
        <v>-94.0734109221128</v>
      </c>
      <c r="W19" t="n">
        <v>-106.651745747538</v>
      </c>
      <c r="X19" s="2">
        <f>HYPERLINK("file:///C:/Users/Hemant/OneDrive/Documents/Projects/kiteconnect_demarker/backtesting/data_st50/DEC09_DYNAMIC/DEC04/OTM/NIFTY25D0926050CE_strategy.html", "View")</f>
        <v/>
      </c>
      <c r="AA19" t="inlineStr">
        <is>
          <t>NEUTRAL</t>
        </is>
      </c>
      <c r="AB19" t="inlineStr">
        <is>
          <t>INCLUDED</t>
        </is>
      </c>
      <c r="AC19" t="n">
        <v>-9.5</v>
      </c>
      <c r="AD19" t="inlineStr">
        <is>
          <t>Fixed Stop Loss</t>
        </is>
      </c>
      <c r="AE19" t="n">
        <v>-9.5</v>
      </c>
      <c r="AF19" t="n">
        <v>6.62</v>
      </c>
      <c r="AG19" t="n">
        <v>-7.43</v>
      </c>
      <c r="AH19" t="n">
        <v>0</v>
      </c>
    </row>
    <row r="20">
      <c r="A20" s="2">
        <f>HYPERLINK("file:///C:/Users/Hemant/OneDrive/Documents/Projects/kiteconnect_demarker/backtesting/data_st50/DEC09_DYNAMIC/DEC04/OTM/NIFTY25D0926100CE_strategy.csv", "NIFTY25D0926100CE")</f>
        <v/>
      </c>
      <c r="B20" t="n">
        <v>116.22</v>
      </c>
      <c r="C20" t="n">
        <v>-1</v>
      </c>
      <c r="D20" t="n">
        <v>72.08</v>
      </c>
      <c r="E20" t="n">
        <v>49.47</v>
      </c>
      <c r="F20" t="n">
        <v>-51.76</v>
      </c>
      <c r="G20" t="n">
        <v>-73.77</v>
      </c>
      <c r="H20" t="n">
        <v>107.93</v>
      </c>
      <c r="I20" t="n">
        <v>109.91</v>
      </c>
      <c r="J20" t="inlineStr">
        <is>
          <t>2025-12-04</t>
        </is>
      </c>
      <c r="K20" t="inlineStr">
        <is>
          <t>BULLISH</t>
        </is>
      </c>
      <c r="M20" t="inlineStr">
        <is>
          <t>CE</t>
        </is>
      </c>
      <c r="N20" t="inlineStr">
        <is>
          <t>11:26:01</t>
        </is>
      </c>
      <c r="O20" t="inlineStr">
        <is>
          <t>11:38:00</t>
        </is>
      </c>
      <c r="P20" t="n">
        <v>110</v>
      </c>
      <c r="Q20" t="n">
        <v>99.55</v>
      </c>
      <c r="R20" t="n">
        <v>137022.88</v>
      </c>
      <c r="S20" t="n">
        <v>151406.5</v>
      </c>
      <c r="T20" t="n">
        <v>105984.55</v>
      </c>
      <c r="U20" t="inlineStr">
        <is>
          <t>EXECUTED</t>
        </is>
      </c>
      <c r="V20" t="n">
        <v>-100</v>
      </c>
      <c r="W20" t="n">
        <v>-107.1909090909091</v>
      </c>
      <c r="X20" s="2">
        <f>HYPERLINK("file:///C:/Users/Hemant/OneDrive/Documents/Projects/kiteconnect_demarker/backtesting/data_st50/DEC09_DYNAMIC/DEC04/OTM/NIFTY25D0926100CE_strategy.html", "View")</f>
        <v/>
      </c>
      <c r="AA20" t="inlineStr">
        <is>
          <t>NEUTRAL</t>
        </is>
      </c>
      <c r="AB20" t="inlineStr">
        <is>
          <t>INCLUDED</t>
        </is>
      </c>
      <c r="AC20" t="n">
        <v>-9.5</v>
      </c>
      <c r="AD20" t="inlineStr">
        <is>
          <t>Fixed Stop Loss</t>
        </is>
      </c>
      <c r="AE20" t="n">
        <v>-9.5</v>
      </c>
      <c r="AF20" t="n">
        <v>0</v>
      </c>
      <c r="AG20" t="n">
        <v>-7.91</v>
      </c>
      <c r="AH20" t="n">
        <v>0</v>
      </c>
    </row>
    <row r="21">
      <c r="A21" s="2">
        <f>HYPERLINK("file:///C:/Users/Hemant/OneDrive/Documents/Projects/kiteconnect_demarker/backtesting/data_st50/DEC09_DYNAMIC/DEC04/OTM/NIFTY25D0926000PE_strategy.csv", "NIFTY25D0926000PE")</f>
        <v/>
      </c>
      <c r="B21" t="n">
        <v>95.89</v>
      </c>
      <c r="C21" t="n">
        <v>-1</v>
      </c>
      <c r="D21" t="n">
        <v>75.3</v>
      </c>
      <c r="E21" t="n">
        <v>47.25</v>
      </c>
      <c r="F21" t="n">
        <v>-38.98</v>
      </c>
      <c r="G21" t="n">
        <v>-53.45</v>
      </c>
      <c r="H21" t="n">
        <v>88.65000000000001</v>
      </c>
      <c r="I21" t="n">
        <v>88.95999999999999</v>
      </c>
      <c r="J21" t="inlineStr">
        <is>
          <t>2025-12-04</t>
        </is>
      </c>
      <c r="K21" t="inlineStr">
        <is>
          <t>BULLISH</t>
        </is>
      </c>
      <c r="M21" t="inlineStr">
        <is>
          <t>PE</t>
        </is>
      </c>
      <c r="N21" t="inlineStr">
        <is>
          <t>10:10:01</t>
        </is>
      </c>
      <c r="O21" t="inlineStr">
        <is>
          <t>10:14:00</t>
        </is>
      </c>
      <c r="P21" t="n">
        <v>89.59999999999999</v>
      </c>
      <c r="Q21" t="n">
        <v>81.09</v>
      </c>
      <c r="R21" t="n">
        <v>90500</v>
      </c>
      <c r="S21" t="n">
        <v>100000</v>
      </c>
      <c r="T21" t="n">
        <v>70000</v>
      </c>
      <c r="U21" t="inlineStr">
        <is>
          <t>EXECUTED</t>
        </is>
      </c>
      <c r="V21" t="n">
        <v>-98.25892857142857</v>
      </c>
      <c r="W21" t="n">
        <v>-110.3348214285714</v>
      </c>
      <c r="X21" s="2">
        <f>HYPERLINK("file:///C:/Users/Hemant/OneDrive/Documents/Projects/kiteconnect_demarker/backtesting/data_st50/DEC09_DYNAMIC/DEC04/OTM/NIFTY25D0926000PE_strategy.html", "View")</f>
        <v/>
      </c>
      <c r="AA21" t="inlineStr">
        <is>
          <t>NEUTRAL</t>
        </is>
      </c>
      <c r="AB21" t="inlineStr">
        <is>
          <t>INCLUDED</t>
        </is>
      </c>
      <c r="AC21" t="n">
        <v>-9.5</v>
      </c>
      <c r="AD21" t="inlineStr">
        <is>
          <t>Fixed Stop Loss</t>
        </is>
      </c>
      <c r="AE21" t="n">
        <v>-9.5</v>
      </c>
      <c r="AF21" t="n">
        <v>1.56</v>
      </c>
      <c r="AG21" t="n">
        <v>-9.26</v>
      </c>
      <c r="AH21" t="n">
        <v>0</v>
      </c>
    </row>
    <row r="22">
      <c r="A22" s="2">
        <f>HYPERLINK("file:///C:/Users/Hemant/OneDrive/Documents/Projects/kiteconnect_demarker/backtesting/data_st50/DEC09_DYNAMIC/DEC05/OTM/NIFTY25D0926200CE_strategy.csv", "NIFTY25D0926200CE")</f>
        <v/>
      </c>
      <c r="B22" t="n">
        <v>95.41</v>
      </c>
      <c r="C22" t="n">
        <v>-1</v>
      </c>
      <c r="D22" t="n">
        <v>19.47</v>
      </c>
      <c r="E22" t="n">
        <v>17.61</v>
      </c>
      <c r="F22" t="n">
        <v>-89.26000000000001</v>
      </c>
      <c r="G22" t="n">
        <v>-93.8</v>
      </c>
      <c r="H22" t="n">
        <v>88.26000000000001</v>
      </c>
      <c r="I22" t="n">
        <v>90.23</v>
      </c>
      <c r="J22" t="inlineStr">
        <is>
          <t>2025-12-05</t>
        </is>
      </c>
      <c r="K22" t="inlineStr">
        <is>
          <t>BULLISH</t>
        </is>
      </c>
      <c r="M22" t="inlineStr">
        <is>
          <t>CE</t>
        </is>
      </c>
      <c r="N22" t="inlineStr">
        <is>
          <t>13:57:01</t>
        </is>
      </c>
      <c r="O22" t="inlineStr">
        <is>
          <t>13:59:00</t>
        </is>
      </c>
      <c r="P22" t="n">
        <v>87.5</v>
      </c>
      <c r="Q22" t="n">
        <v>79.19</v>
      </c>
      <c r="R22" t="n">
        <v>134082.05</v>
      </c>
      <c r="S22" t="n">
        <v>148156.96</v>
      </c>
      <c r="T22" t="n">
        <v>103709.87</v>
      </c>
      <c r="U22" t="inlineStr">
        <is>
          <t>EXECUTED</t>
        </is>
      </c>
      <c r="V22" t="n">
        <v>-100</v>
      </c>
      <c r="W22" t="n">
        <v>-109.7942857142857</v>
      </c>
      <c r="X22" s="2">
        <f>HYPERLINK("file:///C:/Users/Hemant/OneDrive/Documents/Projects/kiteconnect_demarker/backtesting/data_st50/DEC09_DYNAMIC/DEC05/OTM/NIFTY25D0926200CE_strategy.html", "View")</f>
        <v/>
      </c>
      <c r="AA22" t="inlineStr">
        <is>
          <t>NEUTRAL</t>
        </is>
      </c>
      <c r="AB22" t="inlineStr">
        <is>
          <t>INCLUDED</t>
        </is>
      </c>
      <c r="AC22" t="n">
        <v>-9.5</v>
      </c>
      <c r="AD22" t="inlineStr">
        <is>
          <t>Fixed Stop Loss</t>
        </is>
      </c>
      <c r="AE22" t="n">
        <v>-9.5</v>
      </c>
      <c r="AF22" t="n">
        <v>0</v>
      </c>
      <c r="AG22" t="n">
        <v>-8.57</v>
      </c>
      <c r="AH22" t="n">
        <v>0</v>
      </c>
    </row>
    <row r="23">
      <c r="A23" s="2">
        <f>HYPERLINK("file:///C:/Users/Hemant/OneDrive/Documents/Projects/kiteconnect_demarker/backtesting/data_st50/DEC09_DYNAMIC/DEC05/OTM/NIFTY25D0926100PE_strategy.csv", "NIFTY25D0926100PE")</f>
        <v/>
      </c>
      <c r="B23" t="n">
        <v>69</v>
      </c>
      <c r="C23" t="n">
        <v>-1</v>
      </c>
      <c r="D23" t="n">
        <v>93.11</v>
      </c>
      <c r="E23" t="n">
        <v>84.89</v>
      </c>
      <c r="F23" t="n">
        <v>-14.06</v>
      </c>
      <c r="G23" t="n">
        <v>-60.99</v>
      </c>
      <c r="H23" t="n">
        <v>61.43</v>
      </c>
      <c r="I23" t="n">
        <v>62.66</v>
      </c>
      <c r="J23" t="inlineStr">
        <is>
          <t>2025-12-05</t>
        </is>
      </c>
      <c r="K23" t="inlineStr">
        <is>
          <t>BULLISH</t>
        </is>
      </c>
      <c r="M23" t="inlineStr">
        <is>
          <t>PE</t>
        </is>
      </c>
      <c r="N23" t="inlineStr">
        <is>
          <t>11:17:01</t>
        </is>
      </c>
      <c r="O23" t="inlineStr">
        <is>
          <t>11:21:00</t>
        </is>
      </c>
      <c r="P23" t="n">
        <v>61.8</v>
      </c>
      <c r="Q23" t="n">
        <v>55.93</v>
      </c>
      <c r="R23" t="n">
        <v>108852.41</v>
      </c>
      <c r="S23" t="n">
        <v>120278.9</v>
      </c>
      <c r="T23" t="n">
        <v>84195.23</v>
      </c>
      <c r="U23" t="inlineStr">
        <is>
          <t>EXECUTED</t>
        </is>
      </c>
      <c r="V23" t="n">
        <v>-93.72168284789643</v>
      </c>
      <c r="W23" t="n">
        <v>-107.7184466019417</v>
      </c>
      <c r="X23" s="2">
        <f>HYPERLINK("file:///C:/Users/Hemant/OneDrive/Documents/Projects/kiteconnect_demarker/backtesting/data_st50/DEC09_DYNAMIC/DEC05/OTM/NIFTY25D0926100PE_strategy.html", "View")</f>
        <v/>
      </c>
      <c r="AA23" t="inlineStr">
        <is>
          <t>NEUTRAL</t>
        </is>
      </c>
      <c r="AB23" t="inlineStr">
        <is>
          <t>INCLUDED</t>
        </is>
      </c>
      <c r="AC23" t="n">
        <v>-9.5</v>
      </c>
      <c r="AD23" t="inlineStr">
        <is>
          <t>Fixed Stop Loss</t>
        </is>
      </c>
      <c r="AE23" t="n">
        <v>-9.5</v>
      </c>
      <c r="AF23" t="n">
        <v>3.88</v>
      </c>
      <c r="AG23" t="n">
        <v>-4.77</v>
      </c>
      <c r="AH23" t="n">
        <v>0</v>
      </c>
    </row>
    <row r="24">
      <c r="A24" s="2">
        <f>HYPERLINK("file:///C:/Users/Hemant/OneDrive/Documents/Projects/kiteconnect_demarker/backtesting/data_st50/DEC09_DYNAMIC/DEC05/OTM/NIFTY25D0926000PE_strategy.csv", "NIFTY25D0926000PE")</f>
        <v/>
      </c>
      <c r="B24" t="n">
        <v>79.91</v>
      </c>
      <c r="C24" t="n">
        <v>-1</v>
      </c>
      <c r="D24" t="n">
        <v>55.26</v>
      </c>
      <c r="E24" t="n">
        <v>34.9</v>
      </c>
      <c r="F24" t="n">
        <v>-16.06</v>
      </c>
      <c r="G24" t="n">
        <v>-23.33</v>
      </c>
      <c r="H24" t="n">
        <v>72.52</v>
      </c>
      <c r="I24" t="n">
        <v>72.20999999999999</v>
      </c>
      <c r="J24" t="inlineStr">
        <is>
          <t>2025-12-05</t>
        </is>
      </c>
      <c r="K24" t="inlineStr">
        <is>
          <t>BEARISH</t>
        </is>
      </c>
      <c r="M24" t="inlineStr">
        <is>
          <t>PE</t>
        </is>
      </c>
      <c r="N24" t="inlineStr">
        <is>
          <t>09:37:01</t>
        </is>
      </c>
      <c r="O24" t="inlineStr">
        <is>
          <t>09:45:00</t>
        </is>
      </c>
      <c r="P24" t="n">
        <v>72.5</v>
      </c>
      <c r="Q24" t="n">
        <v>65.61</v>
      </c>
      <c r="R24" t="n">
        <v>90500</v>
      </c>
      <c r="S24" t="n">
        <v>100000</v>
      </c>
      <c r="T24" t="n">
        <v>70000</v>
      </c>
      <c r="U24" t="inlineStr">
        <is>
          <t>EXECUTED</t>
        </is>
      </c>
      <c r="V24" t="n">
        <v>-94.95172413793104</v>
      </c>
      <c r="W24" t="n">
        <v>-117.6</v>
      </c>
      <c r="X24" s="2">
        <f>HYPERLINK("file:///C:/Users/Hemant/OneDrive/Documents/Projects/kiteconnect_demarker/backtesting/data_st50/DEC09_DYNAMIC/DEC05/OTM/NIFTY25D0926000PE_strategy.html", "View")</f>
        <v/>
      </c>
      <c r="AA24" t="inlineStr">
        <is>
          <t>NEUTRAL</t>
        </is>
      </c>
      <c r="AB24" t="inlineStr">
        <is>
          <t>INCLUDED</t>
        </is>
      </c>
      <c r="AC24" t="n">
        <v>-9.5</v>
      </c>
      <c r="AD24" t="inlineStr">
        <is>
          <t>Fixed Stop Loss</t>
        </is>
      </c>
      <c r="AE24" t="n">
        <v>-9.5</v>
      </c>
      <c r="AF24" t="n">
        <v>3.66</v>
      </c>
      <c r="AG24" t="n">
        <v>-12.76</v>
      </c>
      <c r="AH24" t="n">
        <v>0</v>
      </c>
    </row>
    <row r="25">
      <c r="A25" s="2">
        <f>HYPERLINK("file:///C:/Users/Hemant/OneDrive/Documents/Projects/kiteconnect_demarker/backtesting/data_st50/DEC09_DYNAMIC/DEC08/OTM/NIFTY25D0926100CE_strategy.csv", "NIFTY25D0926100CE")</f>
        <v/>
      </c>
      <c r="B25" t="n">
        <v>89.91</v>
      </c>
      <c r="C25" t="n">
        <v>-1</v>
      </c>
      <c r="D25" t="n">
        <v>39.14</v>
      </c>
      <c r="E25" t="n">
        <v>30.69</v>
      </c>
      <c r="F25" t="n">
        <v>-57.04</v>
      </c>
      <c r="G25" t="n">
        <v>-67.03</v>
      </c>
      <c r="H25" t="n">
        <v>77.15000000000001</v>
      </c>
      <c r="I25" t="n">
        <v>78.05</v>
      </c>
      <c r="J25" t="inlineStr">
        <is>
          <t>2025-12-08</t>
        </is>
      </c>
      <c r="K25" t="inlineStr">
        <is>
          <t>BEARISH</t>
        </is>
      </c>
      <c r="M25" t="inlineStr">
        <is>
          <t>CE</t>
        </is>
      </c>
      <c r="N25" t="inlineStr">
        <is>
          <t>10:37:01</t>
        </is>
      </c>
      <c r="O25" t="inlineStr">
        <is>
          <t>10:59:00</t>
        </is>
      </c>
      <c r="P25" t="n">
        <v>74.95</v>
      </c>
      <c r="Q25" t="n">
        <v>67.83</v>
      </c>
      <c r="R25" t="n">
        <v>67057.96000000001</v>
      </c>
      <c r="S25" t="n">
        <v>100000</v>
      </c>
      <c r="T25" t="n">
        <v>70000</v>
      </c>
      <c r="U25" t="inlineStr">
        <is>
          <t>EXECUTED</t>
        </is>
      </c>
      <c r="V25" t="n">
        <v>-85.7638425617078</v>
      </c>
      <c r="W25" t="n">
        <v>-107.9252835223482</v>
      </c>
      <c r="X25" s="2">
        <f>HYPERLINK("file:///C:/Users/Hemant/OneDrive/Documents/Projects/kiteconnect_demarker/backtesting/data_st50/DEC09_DYNAMIC/DEC08/OTM/NIFTY25D0926100CE_strategy.html", "View")</f>
        <v/>
      </c>
      <c r="AA25" t="inlineStr">
        <is>
          <t>NEUTRAL</t>
        </is>
      </c>
      <c r="AB25" t="inlineStr">
        <is>
          <t>INCLUDED</t>
        </is>
      </c>
      <c r="AC25" t="n">
        <v>-9.5</v>
      </c>
      <c r="AD25" t="inlineStr">
        <is>
          <t>Fixed Stop Loss</t>
        </is>
      </c>
      <c r="AE25" t="n">
        <v>-9.5</v>
      </c>
      <c r="AF25" t="n">
        <v>10.67</v>
      </c>
      <c r="AG25" t="n">
        <v>-5.94</v>
      </c>
      <c r="AH25" t="n">
        <v>0</v>
      </c>
    </row>
    <row r="26">
      <c r="A26" s="2">
        <f>HYPERLINK("file:///C:/Users/Hemant/OneDrive/Documents/Projects/kiteconnect_demarker/backtesting/data_st50/DEC09_DYNAMIC/DEC08/OTM/NIFTY25D0926100PE_strategy.csv", "NIFTY25D0926100PE")</f>
        <v/>
      </c>
      <c r="B26" t="n">
        <v>71.5</v>
      </c>
      <c r="C26" t="n">
        <v>-1</v>
      </c>
      <c r="D26" t="n">
        <v>51.49</v>
      </c>
      <c r="E26" t="n">
        <v>30.55</v>
      </c>
      <c r="F26" t="n">
        <v>-30.59</v>
      </c>
      <c r="G26" t="n">
        <v>-40.4</v>
      </c>
      <c r="H26" t="n">
        <v>62.66</v>
      </c>
      <c r="I26" t="n">
        <v>63.33</v>
      </c>
      <c r="J26" t="inlineStr">
        <is>
          <t>2025-12-08</t>
        </is>
      </c>
      <c r="K26" t="inlineStr">
        <is>
          <t>BEARISH</t>
        </is>
      </c>
      <c r="M26" t="inlineStr">
        <is>
          <t>PE</t>
        </is>
      </c>
      <c r="N26" t="inlineStr">
        <is>
          <t>10:18:01</t>
        </is>
      </c>
      <c r="O26" t="inlineStr">
        <is>
          <t>10:22:00</t>
        </is>
      </c>
      <c r="P26" t="n">
        <v>63.85</v>
      </c>
      <c r="Q26" t="n">
        <v>57.78</v>
      </c>
      <c r="R26" t="n">
        <v>74097.19</v>
      </c>
      <c r="S26" t="n">
        <v>100000</v>
      </c>
      <c r="T26" t="n">
        <v>70000</v>
      </c>
      <c r="U26" t="inlineStr">
        <is>
          <t>EXECUTED</t>
        </is>
      </c>
      <c r="V26" t="n">
        <v>-95.2231793265466</v>
      </c>
      <c r="W26" t="n">
        <v>-127.1104150352388</v>
      </c>
      <c r="X26" s="2">
        <f>HYPERLINK("file:///C:/Users/Hemant/OneDrive/Documents/Projects/kiteconnect_demarker/backtesting/data_st50/DEC09_DYNAMIC/DEC08/OTM/NIFTY25D0926100PE_strategy.html", "View")</f>
        <v/>
      </c>
      <c r="AA26" t="inlineStr">
        <is>
          <t>NEUTRAL</t>
        </is>
      </c>
      <c r="AB26" t="inlineStr">
        <is>
          <t>INCLUDED</t>
        </is>
      </c>
      <c r="AC26" t="n">
        <v>-9.51</v>
      </c>
      <c r="AD26" t="inlineStr">
        <is>
          <t>Fixed Stop Loss</t>
        </is>
      </c>
      <c r="AE26" t="n">
        <v>-9.51</v>
      </c>
      <c r="AF26" t="n">
        <v>3.05</v>
      </c>
      <c r="AG26" t="n">
        <v>-17.31</v>
      </c>
      <c r="AH26" t="n">
        <v>0</v>
      </c>
    </row>
    <row r="27">
      <c r="A27" s="2">
        <f>HYPERLINK("file:///C:/Users/Hemant/OneDrive/Documents/Projects/kiteconnect_demarker/backtesting/data_st50/DEC09_DYNAMIC/DEC08/OTM/NIFTY25D0926150CE_strategy.csv", "NIFTY25D0926150CE")</f>
        <v/>
      </c>
      <c r="B27" t="n">
        <v>82.40000000000001</v>
      </c>
      <c r="C27" t="n">
        <v>-1</v>
      </c>
      <c r="D27" t="n">
        <v>100</v>
      </c>
      <c r="E27" t="n">
        <v>90.34999999999999</v>
      </c>
      <c r="F27" t="n">
        <v>-22.13</v>
      </c>
      <c r="G27" t="n">
        <v>-73.20999999999999</v>
      </c>
      <c r="H27" t="n">
        <v>70.37</v>
      </c>
      <c r="I27" t="n">
        <v>73.55</v>
      </c>
      <c r="J27" t="inlineStr">
        <is>
          <t>2025-12-08</t>
        </is>
      </c>
      <c r="K27" t="inlineStr">
        <is>
          <t>BEARISH</t>
        </is>
      </c>
      <c r="M27" t="inlineStr">
        <is>
          <t>CE</t>
        </is>
      </c>
      <c r="N27" t="inlineStr">
        <is>
          <t>09:44:01</t>
        </is>
      </c>
      <c r="O27" t="inlineStr">
        <is>
          <t>09:46:00</t>
        </is>
      </c>
      <c r="P27" t="n">
        <v>73.84999999999999</v>
      </c>
      <c r="Q27" t="n">
        <v>66.83</v>
      </c>
      <c r="R27" t="n">
        <v>81884.39999999999</v>
      </c>
      <c r="S27" t="n">
        <v>100000</v>
      </c>
      <c r="T27" t="n">
        <v>70000</v>
      </c>
      <c r="U27" t="inlineStr">
        <is>
          <t>EXECUTED</t>
        </is>
      </c>
      <c r="V27" t="n">
        <v>-99.0792146242383</v>
      </c>
      <c r="W27" t="n">
        <v>-115.7752200406229</v>
      </c>
      <c r="X27" s="2">
        <f>HYPERLINK("file:///C:/Users/Hemant/OneDrive/Documents/Projects/kiteconnect_demarker/backtesting/data_st50/DEC09_DYNAMIC/DEC08/OTM/NIFTY25D0926150CE_strategy.html", "View")</f>
        <v/>
      </c>
      <c r="AA27" t="inlineStr">
        <is>
          <t>NEUTRAL</t>
        </is>
      </c>
      <c r="AB27" t="inlineStr">
        <is>
          <t>INCLUDED</t>
        </is>
      </c>
      <c r="AC27" t="n">
        <v>-9.51</v>
      </c>
      <c r="AD27" t="inlineStr">
        <is>
          <t>Fixed Stop Loss</t>
        </is>
      </c>
      <c r="AE27" t="n">
        <v>-9.51</v>
      </c>
      <c r="AF27" t="n">
        <v>0.68</v>
      </c>
      <c r="AG27" t="n">
        <v>-11.65</v>
      </c>
      <c r="AH27" t="n">
        <v>0</v>
      </c>
    </row>
    <row r="28">
      <c r="A28" s="2">
        <f>HYPERLINK("file:///C:/Users/Hemant/OneDrive/Documents/Projects/kiteconnect_demarker/backtesting/data_st50/DEC09_DYNAMIC/DEC08/OTM/NIFTY25D0926200CE_strategy.csv", "NIFTY25D0926200CE")</f>
        <v/>
      </c>
      <c r="B28" t="n">
        <v>75.23999999999999</v>
      </c>
      <c r="C28" t="n">
        <v>-1</v>
      </c>
      <c r="D28" t="n">
        <v>35.34</v>
      </c>
      <c r="E28" t="n">
        <v>30.51</v>
      </c>
      <c r="F28" t="n">
        <v>-76.67</v>
      </c>
      <c r="G28" t="n">
        <v>-76.67</v>
      </c>
      <c r="H28" t="n">
        <v>66.15000000000001</v>
      </c>
      <c r="I28" t="n">
        <v>69.43000000000001</v>
      </c>
      <c r="J28" t="inlineStr">
        <is>
          <t>2025-12-08</t>
        </is>
      </c>
      <c r="K28" t="inlineStr">
        <is>
          <t>BULLISH</t>
        </is>
      </c>
      <c r="M28" t="inlineStr">
        <is>
          <t>CE</t>
        </is>
      </c>
      <c r="N28" t="inlineStr">
        <is>
          <t>09:21:01</t>
        </is>
      </c>
      <c r="O28" t="inlineStr">
        <is>
          <t>09:26:00</t>
        </is>
      </c>
      <c r="P28" t="n">
        <v>64.7</v>
      </c>
      <c r="Q28" t="n">
        <v>58.55</v>
      </c>
      <c r="R28" t="n">
        <v>90490</v>
      </c>
      <c r="S28" t="n">
        <v>100000</v>
      </c>
      <c r="T28" t="n">
        <v>70000</v>
      </c>
      <c r="U28" t="inlineStr">
        <is>
          <t>EXECUTED</t>
        </is>
      </c>
      <c r="V28" t="n">
        <v>-86.50695517774342</v>
      </c>
      <c r="W28" t="n">
        <v>-123.1684698608965</v>
      </c>
      <c r="X28" s="2">
        <f>HYPERLINK("file:///C:/Users/Hemant/OneDrive/Documents/Projects/kiteconnect_demarker/backtesting/data_st50/DEC09_DYNAMIC/DEC08/OTM/NIFTY25D0926200CE_strategy.html", "View")</f>
        <v/>
      </c>
      <c r="AA28" t="inlineStr">
        <is>
          <t>BULLISH</t>
        </is>
      </c>
      <c r="AB28" t="inlineStr">
        <is>
          <t>INCLUDED (HYBRID_NEUTRAL_ZONE)</t>
        </is>
      </c>
      <c r="AC28" t="n">
        <v>-9.51</v>
      </c>
      <c r="AD28" t="inlineStr">
        <is>
          <t>Fixed Stop Loss</t>
        </is>
      </c>
      <c r="AE28" t="n">
        <v>-9.51</v>
      </c>
      <c r="AF28" t="n">
        <v>8.73</v>
      </c>
      <c r="AG28" t="n">
        <v>-14.99</v>
      </c>
      <c r="AH28" t="n">
        <v>0</v>
      </c>
    </row>
    <row r="29">
      <c r="A29" s="2">
        <f>HYPERLINK("file:///C:/Users/Hemant/OneDrive/Documents/Projects/kiteconnect_demarker/backtesting/data_st50/DEC16_DYNAMIC/DEC10/OTM/NIFTY25D1625900PE_strategy.csv", "NIFTY25D1625900PE")</f>
        <v/>
      </c>
      <c r="B29" t="n">
        <v>118.5</v>
      </c>
      <c r="C29" t="n">
        <v>-1</v>
      </c>
      <c r="D29" t="n">
        <v>31.88</v>
      </c>
      <c r="E29" t="n">
        <v>23.2</v>
      </c>
      <c r="F29" t="n">
        <v>-87.78</v>
      </c>
      <c r="G29" t="n">
        <v>-76.33</v>
      </c>
      <c r="H29" t="n">
        <v>109.97</v>
      </c>
      <c r="I29" t="n">
        <v>109.85</v>
      </c>
      <c r="J29" t="inlineStr">
        <is>
          <t>2025-12-10</t>
        </is>
      </c>
      <c r="K29" t="inlineStr">
        <is>
          <t>BULLISH</t>
        </is>
      </c>
      <c r="M29" t="inlineStr">
        <is>
          <t>PE</t>
        </is>
      </c>
      <c r="N29" t="inlineStr">
        <is>
          <t>10:06:01</t>
        </is>
      </c>
      <c r="O29" t="inlineStr">
        <is>
          <t>10:12:00</t>
        </is>
      </c>
      <c r="P29" t="n">
        <v>108.8</v>
      </c>
      <c r="Q29" t="n">
        <v>98.45999999999999</v>
      </c>
      <c r="R29" t="n">
        <v>67080.2</v>
      </c>
      <c r="S29" t="n">
        <v>100000</v>
      </c>
      <c r="T29" t="n">
        <v>70000</v>
      </c>
      <c r="U29" t="inlineStr">
        <is>
          <t>EXECUTED</t>
        </is>
      </c>
      <c r="V29" t="n">
        <v>-100</v>
      </c>
      <c r="W29" t="n">
        <v>-105.7444852941176</v>
      </c>
      <c r="X29" s="2">
        <f>HYPERLINK("file:///C:/Users/Hemant/OneDrive/Documents/Projects/kiteconnect_demarker/backtesting/data_st50/DEC16_DYNAMIC/DEC10/OTM/NIFTY25D1625900PE_strategy.html", "View")</f>
        <v/>
      </c>
      <c r="AA29" t="inlineStr">
        <is>
          <t>BULLISH</t>
        </is>
      </c>
      <c r="AB29" t="inlineStr">
        <is>
          <t>INCLUDED (HYBRID_NEUTRAL_ZONE)</t>
        </is>
      </c>
      <c r="AC29" t="n">
        <v>-9.5</v>
      </c>
      <c r="AD29" t="inlineStr">
        <is>
          <t>Fixed Stop Loss</t>
        </is>
      </c>
      <c r="AE29" t="n">
        <v>-9.5</v>
      </c>
      <c r="AF29" t="n">
        <v>0</v>
      </c>
      <c r="AG29" t="n">
        <v>-6.25</v>
      </c>
      <c r="AH29" t="n">
        <v>0</v>
      </c>
    </row>
    <row r="30">
      <c r="A30" s="2">
        <f>HYPERLINK("file:///C:/Users/Hemant/OneDrive/Documents/Projects/kiteconnect_demarker/backtesting/data_st50/DEC16_DYNAMIC/DEC10/OTM/NIFTY25D1625900PE_strategy.csv", "NIFTY25D1625900PE")</f>
        <v/>
      </c>
      <c r="B30" t="n">
        <v>118.5</v>
      </c>
      <c r="C30" t="n">
        <v>-1</v>
      </c>
      <c r="D30" t="n">
        <v>100</v>
      </c>
      <c r="E30" t="n">
        <v>74.39</v>
      </c>
      <c r="F30" t="n">
        <v>-10.26</v>
      </c>
      <c r="G30" t="n">
        <v>-70.03</v>
      </c>
      <c r="H30" t="n">
        <v>107.79</v>
      </c>
      <c r="I30" t="n">
        <v>110.52</v>
      </c>
      <c r="J30" t="inlineStr">
        <is>
          <t>2025-12-10</t>
        </is>
      </c>
      <c r="K30" t="inlineStr">
        <is>
          <t>BEARISH</t>
        </is>
      </c>
      <c r="M30" t="inlineStr">
        <is>
          <t>PE</t>
        </is>
      </c>
      <c r="N30" t="inlineStr">
        <is>
          <t>09:50:01</t>
        </is>
      </c>
      <c r="O30" t="inlineStr">
        <is>
          <t>10:03:00</t>
        </is>
      </c>
      <c r="P30" t="n">
        <v>113.7</v>
      </c>
      <c r="Q30" t="n">
        <v>102.9</v>
      </c>
      <c r="R30" t="n">
        <v>74121.75999999999</v>
      </c>
      <c r="S30" t="n">
        <v>100000</v>
      </c>
      <c r="T30" t="n">
        <v>70000</v>
      </c>
      <c r="U30" t="inlineStr">
        <is>
          <t>EXECUTED</t>
        </is>
      </c>
      <c r="V30" t="n">
        <v>-95.12752858399296</v>
      </c>
      <c r="W30" t="n">
        <v>-111.1345646437995</v>
      </c>
      <c r="X30" s="2">
        <f>HYPERLINK("file:///C:/Users/Hemant/OneDrive/Documents/Projects/kiteconnect_demarker/backtesting/data_st50/DEC16_DYNAMIC/DEC10/OTM/NIFTY25D1625900PE_strategy.html", "View")</f>
        <v/>
      </c>
      <c r="AA30" t="inlineStr">
        <is>
          <t>NEUTRAL</t>
        </is>
      </c>
      <c r="AB30" t="inlineStr">
        <is>
          <t>INCLUDED</t>
        </is>
      </c>
      <c r="AC30" t="n">
        <v>-9.5</v>
      </c>
      <c r="AD30" t="inlineStr">
        <is>
          <t>Fixed Stop Loss</t>
        </is>
      </c>
      <c r="AE30" t="n">
        <v>-9.5</v>
      </c>
      <c r="AF30" t="n">
        <v>5.54</v>
      </c>
      <c r="AG30" t="n">
        <v>-12.66</v>
      </c>
      <c r="AH30" t="n">
        <v>0</v>
      </c>
    </row>
    <row r="31">
      <c r="A31" s="2">
        <f>HYPERLINK("file:///C:/Users/Hemant/OneDrive/Documents/Projects/kiteconnect_demarker/backtesting/data_st50/DEC16_DYNAMIC/DEC10/OTM/NIFTY25D1625850PE_strategy.csv", "NIFTY25D1625850PE")</f>
        <v/>
      </c>
      <c r="B31" t="n">
        <v>120.65</v>
      </c>
      <c r="C31" t="n">
        <v>-1</v>
      </c>
      <c r="D31" t="n">
        <v>70.45</v>
      </c>
      <c r="E31" t="n">
        <v>59.03</v>
      </c>
      <c r="F31" t="n">
        <v>-24.29</v>
      </c>
      <c r="G31" t="n">
        <v>-50.98</v>
      </c>
      <c r="H31" t="n">
        <v>111.48</v>
      </c>
      <c r="I31" t="n">
        <v>114.1</v>
      </c>
      <c r="J31" t="inlineStr">
        <is>
          <t>2025-12-10</t>
        </is>
      </c>
      <c r="K31" t="inlineStr">
        <is>
          <t>BEARISH</t>
        </is>
      </c>
      <c r="M31" t="inlineStr">
        <is>
          <t>PE</t>
        </is>
      </c>
      <c r="N31" t="inlineStr">
        <is>
          <t>09:25:01</t>
        </is>
      </c>
      <c r="O31" t="inlineStr">
        <is>
          <t>09:27:00</t>
        </is>
      </c>
      <c r="P31" t="n">
        <v>118.15</v>
      </c>
      <c r="Q31" t="n">
        <v>106.93</v>
      </c>
      <c r="R31" t="n">
        <v>81902.5</v>
      </c>
      <c r="S31" t="n">
        <v>100000</v>
      </c>
      <c r="T31" t="n">
        <v>70000</v>
      </c>
      <c r="U31" t="inlineStr">
        <is>
          <t>EXECUTED</t>
        </is>
      </c>
      <c r="V31" t="n">
        <v>-98.78121032585696</v>
      </c>
      <c r="W31" t="n">
        <v>-110.5289885738468</v>
      </c>
      <c r="X31" s="2">
        <f>HYPERLINK("file:///C:/Users/Hemant/OneDrive/Documents/Projects/kiteconnect_demarker/backtesting/data_st50/DEC16_DYNAMIC/DEC10/OTM/NIFTY25D1625850PE_strategy.html", "View")</f>
        <v/>
      </c>
      <c r="AA31" t="inlineStr">
        <is>
          <t>BEARISH</t>
        </is>
      </c>
      <c r="AB31" t="inlineStr">
        <is>
          <t>INCLUDED (HYBRID_NEUTRAL_ZONE)</t>
        </is>
      </c>
      <c r="AC31" t="n">
        <v>-9.5</v>
      </c>
      <c r="AD31" t="inlineStr">
        <is>
          <t>Fixed Stop Loss</t>
        </is>
      </c>
      <c r="AE31" t="n">
        <v>-9.5</v>
      </c>
      <c r="AF31" t="n">
        <v>1.44</v>
      </c>
      <c r="AG31" t="n">
        <v>-12.44</v>
      </c>
      <c r="AH31" t="n">
        <v>0</v>
      </c>
    </row>
    <row r="32">
      <c r="A32" s="2">
        <f>HYPERLINK("file:///C:/Users/Hemant/OneDrive/Documents/Projects/kiteconnect_demarker/backtesting/data_st50/DEC16_DYNAMIC/DEC10/OTM/NIFTY25D1625850PE_strategy.csv", "NIFTY25D1625850PE")</f>
        <v/>
      </c>
      <c r="B32" t="n">
        <v>120.65</v>
      </c>
      <c r="C32" t="n">
        <v>-1</v>
      </c>
      <c r="D32" t="n">
        <v>42.39</v>
      </c>
      <c r="E32" t="n">
        <v>23.2</v>
      </c>
      <c r="F32" t="n">
        <v>-73.34</v>
      </c>
      <c r="G32" t="n">
        <v>-73.34</v>
      </c>
      <c r="H32" t="n">
        <v>112.94</v>
      </c>
      <c r="I32" t="n">
        <v>113.79</v>
      </c>
      <c r="J32" t="inlineStr">
        <is>
          <t>2025-12-10</t>
        </is>
      </c>
      <c r="K32" t="inlineStr">
        <is>
          <t>BEARISH</t>
        </is>
      </c>
      <c r="M32" t="inlineStr">
        <is>
          <t>PE</t>
        </is>
      </c>
      <c r="N32" t="inlineStr">
        <is>
          <t>09:21:01</t>
        </is>
      </c>
      <c r="O32" t="inlineStr">
        <is>
          <t>09:24:00</t>
        </is>
      </c>
      <c r="P32" t="n">
        <v>117.7</v>
      </c>
      <c r="Q32" t="n">
        <v>106.52</v>
      </c>
      <c r="R32" t="n">
        <v>90500</v>
      </c>
      <c r="S32" t="n">
        <v>100000</v>
      </c>
      <c r="T32" t="n">
        <v>70000</v>
      </c>
      <c r="U32" t="inlineStr">
        <is>
          <t>EXECUTED</t>
        </is>
      </c>
      <c r="V32" t="n">
        <v>-99.78759558198811</v>
      </c>
      <c r="W32" t="n">
        <v>-113.322005097706</v>
      </c>
      <c r="X32" s="2">
        <f>HYPERLINK("file:///C:/Users/Hemant/OneDrive/Documents/Projects/kiteconnect_demarker/backtesting/data_st50/DEC16_DYNAMIC/DEC10/OTM/NIFTY25D1625850PE_strategy.html", "View")</f>
        <v/>
      </c>
      <c r="AA32" t="inlineStr">
        <is>
          <t>BEARISH</t>
        </is>
      </c>
      <c r="AB32" t="inlineStr">
        <is>
          <t>INCLUDED (HYBRID_NEUTRAL_ZONE)</t>
        </is>
      </c>
      <c r="AC32" t="n">
        <v>-9.5</v>
      </c>
      <c r="AD32" t="inlineStr">
        <is>
          <t>Fixed Stop Loss</t>
        </is>
      </c>
      <c r="AE32" t="n">
        <v>-9.5</v>
      </c>
      <c r="AF32" t="n">
        <v>0.25</v>
      </c>
      <c r="AG32" t="n">
        <v>-15.68</v>
      </c>
      <c r="AH32" t="n">
        <v>0</v>
      </c>
    </row>
    <row r="33">
      <c r="A33" s="2">
        <f>HYPERLINK("file:///C:/Users/Hemant/OneDrive/Documents/Projects/kiteconnect_demarker/backtesting/data_st50/DEC16_DYNAMIC/DEC11/OTM/NIFTY25D1625850PE_strategy.csv", "NIFTY25D1625850PE")</f>
        <v/>
      </c>
      <c r="B33" t="n">
        <v>90.55</v>
      </c>
      <c r="C33" t="n">
        <v>-1</v>
      </c>
      <c r="D33" t="n">
        <v>32.3</v>
      </c>
      <c r="E33" t="n">
        <v>22.45</v>
      </c>
      <c r="F33" t="n">
        <v>-73.15000000000001</v>
      </c>
      <c r="G33" t="n">
        <v>-86.06</v>
      </c>
      <c r="H33" t="n">
        <v>79.23</v>
      </c>
      <c r="I33" t="n">
        <v>80.7</v>
      </c>
      <c r="J33" t="inlineStr">
        <is>
          <t>2025-12-11</t>
        </is>
      </c>
      <c r="K33" t="inlineStr">
        <is>
          <t>BULLISH</t>
        </is>
      </c>
      <c r="L33" t="inlineStr">
        <is>
          <t>BULLISH</t>
        </is>
      </c>
      <c r="M33" t="inlineStr">
        <is>
          <t>PE</t>
        </is>
      </c>
      <c r="N33" t="inlineStr">
        <is>
          <t>13:38:01</t>
        </is>
      </c>
      <c r="O33" t="inlineStr">
        <is>
          <t>13:56:00</t>
        </is>
      </c>
      <c r="P33" t="n">
        <v>78.84999999999999</v>
      </c>
      <c r="Q33" t="n">
        <v>71.36</v>
      </c>
      <c r="R33" t="n">
        <v>125628.67</v>
      </c>
      <c r="S33" t="n">
        <v>138816.21</v>
      </c>
      <c r="T33" t="n">
        <v>97171.35000000001</v>
      </c>
      <c r="U33" t="inlineStr">
        <is>
          <t>EXECUTED</t>
        </is>
      </c>
      <c r="V33" t="n">
        <v>-90.51363348129358</v>
      </c>
      <c r="W33" t="n">
        <v>-107.7996195307546</v>
      </c>
      <c r="X33" s="2">
        <f>HYPERLINK("file:///C:/Users/Hemant/OneDrive/Documents/Projects/kiteconnect_demarker/backtesting/data_st50/DEC16_DYNAMIC/DEC11/OTM/NIFTY25D1625850PE_strategy.html", "View")</f>
        <v/>
      </c>
      <c r="AA33" t="inlineStr">
        <is>
          <t>BULLISH</t>
        </is>
      </c>
      <c r="AB33" t="inlineStr">
        <is>
          <t>INCLUDED (HYBRID_NEUTRAL_ZONE)</t>
        </is>
      </c>
      <c r="AC33" t="n">
        <v>-9.5</v>
      </c>
      <c r="AD33" t="inlineStr">
        <is>
          <t>Fixed Stop Loss</t>
        </is>
      </c>
      <c r="AE33" t="n">
        <v>-9.5</v>
      </c>
      <c r="AF33" t="n">
        <v>7.48</v>
      </c>
      <c r="AG33" t="n">
        <v>-6.15</v>
      </c>
      <c r="AH33" t="n">
        <v>0</v>
      </c>
    </row>
    <row r="34">
      <c r="A34" s="2">
        <f>HYPERLINK("file:///C:/Users/Hemant/OneDrive/Documents/Projects/kiteconnect_demarker/backtesting/data_st50/DEC16_DYNAMIC/DEC11/OTM/NIFTY25D1625800PE_strategy.csv", "NIFTY25D1625800PE")</f>
        <v/>
      </c>
      <c r="B34" t="n">
        <v>89.72</v>
      </c>
      <c r="C34" t="n">
        <v>-1</v>
      </c>
      <c r="D34" t="n">
        <v>31.44</v>
      </c>
      <c r="E34" t="n">
        <v>21.67</v>
      </c>
      <c r="F34" t="n">
        <v>-70.54000000000001</v>
      </c>
      <c r="G34" t="n">
        <v>-75</v>
      </c>
      <c r="H34" t="n">
        <v>81.14</v>
      </c>
      <c r="I34" t="n">
        <v>81.34999999999999</v>
      </c>
      <c r="J34" t="inlineStr">
        <is>
          <t>2025-12-11</t>
        </is>
      </c>
      <c r="K34" t="inlineStr">
        <is>
          <t>BULLISH</t>
        </is>
      </c>
      <c r="L34" t="inlineStr">
        <is>
          <t>BULLISH</t>
        </is>
      </c>
      <c r="M34" t="inlineStr">
        <is>
          <t>PE</t>
        </is>
      </c>
      <c r="N34" t="inlineStr">
        <is>
          <t>11:55:01</t>
        </is>
      </c>
      <c r="O34" t="inlineStr">
        <is>
          <t>11:57:00</t>
        </is>
      </c>
      <c r="P34" t="n">
        <v>79.5</v>
      </c>
      <c r="Q34" t="n">
        <v>74.89</v>
      </c>
      <c r="R34" t="n">
        <v>127144.36</v>
      </c>
      <c r="S34" t="n">
        <v>134972.78</v>
      </c>
      <c r="T34" t="n">
        <v>94480.94</v>
      </c>
      <c r="U34" t="inlineStr">
        <is>
          <t>EXECUTED</t>
        </is>
      </c>
      <c r="V34" t="n">
        <v>-99.05660377358491</v>
      </c>
      <c r="W34" t="n">
        <v>-105.8490566037736</v>
      </c>
      <c r="X34" s="2">
        <f>HYPERLINK("file:///C:/Users/Hemant/OneDrive/Documents/Projects/kiteconnect_demarker/backtesting/data_st50/DEC16_DYNAMIC/DEC11/OTM/NIFTY25D1625800PE_strategy.html", "View")</f>
        <v/>
      </c>
      <c r="AA34" t="inlineStr">
        <is>
          <t>BEARISH</t>
        </is>
      </c>
      <c r="AB34" t="inlineStr">
        <is>
          <t>INCLUDED (HYBRID_NEUTRAL_ZONE)</t>
        </is>
      </c>
      <c r="AC34" t="n">
        <v>-5.8</v>
      </c>
      <c r="AD34" t="inlineStr">
        <is>
          <t>Fixed Stop Loss</t>
        </is>
      </c>
      <c r="AE34" t="n">
        <v>-5.8</v>
      </c>
      <c r="AF34" t="n">
        <v>0.75</v>
      </c>
      <c r="AG34" t="n">
        <v>-4.65</v>
      </c>
      <c r="AH34" t="n">
        <v>0</v>
      </c>
    </row>
    <row r="35">
      <c r="A35" s="2">
        <f>HYPERLINK("file:///C:/Users/Hemant/OneDrive/Documents/Projects/kiteconnect_demarker/backtesting/data_st50/DEC16_DYNAMIC/DEC11/OTM/NIFTY25D1625750PE_strategy.csv", "NIFTY25D1625750PE")</f>
        <v/>
      </c>
      <c r="B35" t="n">
        <v>110.72</v>
      </c>
      <c r="C35" t="n">
        <v>-1</v>
      </c>
      <c r="D35" t="n">
        <v>38.78</v>
      </c>
      <c r="E35" t="n">
        <v>30.34</v>
      </c>
      <c r="F35" t="n">
        <v>-71.39</v>
      </c>
      <c r="G35" t="n">
        <v>-67.79000000000001</v>
      </c>
      <c r="H35" t="n">
        <v>93.09</v>
      </c>
      <c r="I35" t="n">
        <v>96.44</v>
      </c>
      <c r="J35" t="inlineStr">
        <is>
          <t>2025-12-11</t>
        </is>
      </c>
      <c r="K35" t="inlineStr">
        <is>
          <t>BEARISH</t>
        </is>
      </c>
      <c r="L35" t="inlineStr">
        <is>
          <t>BEARISH</t>
        </is>
      </c>
      <c r="M35" t="inlineStr">
        <is>
          <t>PE</t>
        </is>
      </c>
      <c r="N35" t="inlineStr">
        <is>
          <t>09:25:01</t>
        </is>
      </c>
      <c r="O35" t="inlineStr">
        <is>
          <t>09:28:00</t>
        </is>
      </c>
      <c r="P35" t="n">
        <v>92.15000000000001</v>
      </c>
      <c r="Q35" t="n">
        <v>83.40000000000001</v>
      </c>
      <c r="R35" t="n">
        <v>90500</v>
      </c>
      <c r="S35" t="n">
        <v>100000</v>
      </c>
      <c r="T35" t="n">
        <v>70000</v>
      </c>
      <c r="U35" t="inlineStr">
        <is>
          <t>EXECUTED</t>
        </is>
      </c>
      <c r="V35" t="n">
        <v>-91.04720564297341</v>
      </c>
      <c r="W35" t="n">
        <v>-113.5973955507325</v>
      </c>
      <c r="X35" s="2">
        <f>HYPERLINK("file:///C:/Users/Hemant/OneDrive/Documents/Projects/kiteconnect_demarker/backtesting/data_st50/DEC16_DYNAMIC/DEC11/OTM/NIFTY25D1625750PE_strategy.html", "View")</f>
        <v/>
      </c>
      <c r="AA35" t="inlineStr">
        <is>
          <t>BEARISH</t>
        </is>
      </c>
      <c r="AB35" t="inlineStr">
        <is>
          <t>INCLUDED (HYBRID_NEUTRAL_ZONE)</t>
        </is>
      </c>
      <c r="AC35" t="n">
        <v>-9.5</v>
      </c>
      <c r="AD35" t="inlineStr">
        <is>
          <t>Fixed Stop Loss</t>
        </is>
      </c>
      <c r="AE35" t="n">
        <v>-9.5</v>
      </c>
      <c r="AF35" t="n">
        <v>8.25</v>
      </c>
      <c r="AG35" t="n">
        <v>-12.53</v>
      </c>
      <c r="AH35" t="n">
        <v>0</v>
      </c>
    </row>
    <row r="36">
      <c r="A36" s="2">
        <f>HYPERLINK("file:///C:/Users/Hemant/OneDrive/Documents/Projects/kiteconnect_demarker/backtesting/data_st50/DEC16_DYNAMIC/DEC12/OTM/NIFTY25D1626000PE_strategy.csv", "NIFTY25D1626000PE")</f>
        <v/>
      </c>
      <c r="B36" t="n">
        <v>67.23</v>
      </c>
      <c r="C36" t="n">
        <v>-1</v>
      </c>
      <c r="D36" t="n">
        <v>73.8</v>
      </c>
      <c r="E36" t="n">
        <v>41.48</v>
      </c>
      <c r="F36" t="n">
        <v>-34.52</v>
      </c>
      <c r="G36" t="n">
        <v>-64.73999999999999</v>
      </c>
      <c r="H36" t="n">
        <v>62.03</v>
      </c>
      <c r="I36" t="n">
        <v>62.67</v>
      </c>
      <c r="J36" t="inlineStr">
        <is>
          <t>2025-12-12</t>
        </is>
      </c>
      <c r="K36" t="inlineStr">
        <is>
          <t>BULLISH</t>
        </is>
      </c>
      <c r="L36" t="inlineStr">
        <is>
          <t>BULLISH</t>
        </is>
      </c>
      <c r="M36" t="inlineStr">
        <is>
          <t>PE</t>
        </is>
      </c>
      <c r="N36" t="inlineStr">
        <is>
          <t>13:53:01</t>
        </is>
      </c>
      <c r="O36" t="inlineStr">
        <is>
          <t>14:04:00</t>
        </is>
      </c>
      <c r="P36" t="n">
        <v>62.95</v>
      </c>
      <c r="Q36" t="n">
        <v>56.97</v>
      </c>
      <c r="R36" t="n">
        <v>81691.21000000001</v>
      </c>
      <c r="S36" t="n">
        <v>105318.42</v>
      </c>
      <c r="T36" t="n">
        <v>73722.89999999999</v>
      </c>
      <c r="U36" t="inlineStr">
        <is>
          <t>EXECUTED</t>
        </is>
      </c>
      <c r="V36" t="n">
        <v>-96.09213661636218</v>
      </c>
      <c r="W36" t="n">
        <v>-113.5027799841144</v>
      </c>
      <c r="X36" s="2">
        <f>HYPERLINK("file:///C:/Users/Hemant/OneDrive/Documents/Projects/kiteconnect_demarker/backtesting/data_st50/DEC16_DYNAMIC/DEC12/OTM/NIFTY25D1626000PE_strategy.html", "View")</f>
        <v/>
      </c>
      <c r="AA36" t="inlineStr">
        <is>
          <t>NEUTRAL</t>
        </is>
      </c>
      <c r="AB36" t="inlineStr">
        <is>
          <t>INCLUDED</t>
        </is>
      </c>
      <c r="AC36" t="n">
        <v>-9.5</v>
      </c>
      <c r="AD36" t="inlineStr">
        <is>
          <t>Fixed Stop Loss</t>
        </is>
      </c>
      <c r="AE36" t="n">
        <v>-9.5</v>
      </c>
      <c r="AF36" t="n">
        <v>2.46</v>
      </c>
      <c r="AG36" t="n">
        <v>-8.5</v>
      </c>
      <c r="AH36" t="n">
        <v>0</v>
      </c>
    </row>
    <row r="37">
      <c r="A37" s="2">
        <f>HYPERLINK("file:///C:/Users/Hemant/OneDrive/Documents/Projects/kiteconnect_demarker/backtesting/data_st50/DEC16_DYNAMIC/DEC12/OTM/NIFTY25D1626000PE_strategy.csv", "NIFTY25D1626000PE")</f>
        <v/>
      </c>
      <c r="B37" t="n">
        <v>70.28</v>
      </c>
      <c r="C37" t="n">
        <v>-1</v>
      </c>
      <c r="D37" t="n">
        <v>39.55</v>
      </c>
      <c r="E37" t="n">
        <v>26.48</v>
      </c>
      <c r="F37" t="n">
        <v>-56.93</v>
      </c>
      <c r="G37" t="n">
        <v>-75.92</v>
      </c>
      <c r="H37" t="n">
        <v>63.51</v>
      </c>
      <c r="I37" t="n">
        <v>64.33</v>
      </c>
      <c r="J37" t="inlineStr">
        <is>
          <t>2025-12-12</t>
        </is>
      </c>
      <c r="K37" t="inlineStr">
        <is>
          <t>BULLISH</t>
        </is>
      </c>
      <c r="L37" t="inlineStr">
        <is>
          <t>BULLISH</t>
        </is>
      </c>
      <c r="M37" t="inlineStr">
        <is>
          <t>PE</t>
        </is>
      </c>
      <c r="N37" t="inlineStr">
        <is>
          <t>13:46:01</t>
        </is>
      </c>
      <c r="O37" t="inlineStr">
        <is>
          <t>13:50:00</t>
        </is>
      </c>
      <c r="P37" t="n">
        <v>64.3</v>
      </c>
      <c r="Q37" t="n">
        <v>58.19</v>
      </c>
      <c r="R37" t="n">
        <v>81475.34</v>
      </c>
      <c r="S37" t="n">
        <v>105318.42</v>
      </c>
      <c r="T37" t="n">
        <v>73722.89999999999</v>
      </c>
      <c r="U37" t="inlineStr">
        <is>
          <t>EXECUTED</t>
        </is>
      </c>
      <c r="V37" t="n">
        <v>-96.37636080870918</v>
      </c>
      <c r="W37" t="n">
        <v>-108.1026438569207</v>
      </c>
      <c r="X37" s="2">
        <f>HYPERLINK("file:///C:/Users/Hemant/OneDrive/Documents/Projects/kiteconnect_demarker/backtesting/data_st50/DEC16_DYNAMIC/DEC12/OTM/NIFTY25D1626000PE_strategy.html", "View")</f>
        <v/>
      </c>
      <c r="AA37" t="inlineStr">
        <is>
          <t>NEUTRAL</t>
        </is>
      </c>
      <c r="AB37" t="inlineStr">
        <is>
          <t>INCLUDED</t>
        </is>
      </c>
      <c r="AC37" t="n">
        <v>-9.5</v>
      </c>
      <c r="AD37" t="inlineStr">
        <is>
          <t>Fixed Stop Loss</t>
        </is>
      </c>
      <c r="AE37" t="n">
        <v>-9.5</v>
      </c>
      <c r="AF37" t="n">
        <v>2.33</v>
      </c>
      <c r="AG37" t="n">
        <v>-5.21</v>
      </c>
      <c r="AH37" t="n">
        <v>0</v>
      </c>
    </row>
    <row r="38">
      <c r="A38" s="2">
        <f>HYPERLINK("file:///C:/Users/Hemant/OneDrive/Documents/Projects/kiteconnect_demarker/backtesting/data_st50/DEC16_DYNAMIC/DEC12/OTM/NIFTY25D1626000PE_strategy.csv", "NIFTY25D1626000PE")</f>
        <v/>
      </c>
      <c r="B38" t="n">
        <v>71.91</v>
      </c>
      <c r="C38" t="n">
        <v>-1</v>
      </c>
      <c r="D38" t="n">
        <v>70.08</v>
      </c>
      <c r="E38" t="n">
        <v>43.47</v>
      </c>
      <c r="F38" t="n">
        <v>-34.85</v>
      </c>
      <c r="G38" t="n">
        <v>-65.45999999999999</v>
      </c>
      <c r="H38" t="n">
        <v>64.93000000000001</v>
      </c>
      <c r="I38" t="n">
        <v>65.70999999999999</v>
      </c>
      <c r="J38" t="inlineStr">
        <is>
          <t>2025-12-12</t>
        </is>
      </c>
      <c r="K38" t="inlineStr">
        <is>
          <t>BULLISH</t>
        </is>
      </c>
      <c r="L38" t="inlineStr">
        <is>
          <t>BULLISH</t>
        </is>
      </c>
      <c r="M38" t="inlineStr">
        <is>
          <t>PE</t>
        </is>
      </c>
      <c r="N38" t="inlineStr">
        <is>
          <t>13:05:01</t>
        </is>
      </c>
      <c r="O38" t="inlineStr">
        <is>
          <t>13:13:00</t>
        </is>
      </c>
      <c r="P38" t="n">
        <v>65.8</v>
      </c>
      <c r="Q38" t="n">
        <v>60.96</v>
      </c>
      <c r="R38" t="n">
        <v>93163.35000000001</v>
      </c>
      <c r="S38" t="n">
        <v>105318.42</v>
      </c>
      <c r="T38" t="n">
        <v>73722.89999999999</v>
      </c>
      <c r="U38" t="inlineStr">
        <is>
          <t>EXECUTED</t>
        </is>
      </c>
      <c r="V38" t="n">
        <v>-79.78723404255319</v>
      </c>
      <c r="W38" t="n">
        <v>-111.4285714285714</v>
      </c>
      <c r="X38" s="2">
        <f>HYPERLINK("file:///C:/Users/Hemant/OneDrive/Documents/Projects/kiteconnect_demarker/backtesting/data_st50/DEC16_DYNAMIC/DEC12/OTM/NIFTY25D1626000PE_strategy.html", "View")</f>
        <v/>
      </c>
      <c r="AA38" t="inlineStr">
        <is>
          <t>NEUTRAL</t>
        </is>
      </c>
      <c r="AB38" t="inlineStr">
        <is>
          <t>INCLUDED</t>
        </is>
      </c>
      <c r="AC38" t="n">
        <v>-7.36</v>
      </c>
      <c r="AD38" t="inlineStr">
        <is>
          <t>SuperTrend Stop Loss Exit</t>
        </is>
      </c>
      <c r="AE38" t="n">
        <v>-7.36</v>
      </c>
      <c r="AF38" t="n">
        <v>13.3</v>
      </c>
      <c r="AG38" t="n">
        <v>-7.52</v>
      </c>
      <c r="AH38" t="n">
        <v>0</v>
      </c>
    </row>
    <row r="39">
      <c r="A39" s="2">
        <f>HYPERLINK("file:///C:/Users/Hemant/OneDrive/Documents/Projects/kiteconnect_demarker/backtesting/data_st50/DEC16_DYNAMIC/DEC12/OTM/NIFTY25D1626000PE_strategy.csv", "NIFTY25D1626000PE")</f>
        <v/>
      </c>
      <c r="B39" t="n">
        <v>79.28</v>
      </c>
      <c r="C39" t="n">
        <v>-1</v>
      </c>
      <c r="D39" t="n">
        <v>79.23999999999999</v>
      </c>
      <c r="E39" t="n">
        <v>54.28</v>
      </c>
      <c r="F39" t="n">
        <v>-32.46</v>
      </c>
      <c r="G39" t="n">
        <v>-56.57</v>
      </c>
      <c r="H39" t="n">
        <v>73.23999999999999</v>
      </c>
      <c r="I39" t="n">
        <v>73.33</v>
      </c>
      <c r="J39" t="inlineStr">
        <is>
          <t>2025-12-12</t>
        </is>
      </c>
      <c r="K39" t="inlineStr">
        <is>
          <t>BEARISH</t>
        </is>
      </c>
      <c r="L39" t="inlineStr">
        <is>
          <t>BULLISH</t>
        </is>
      </c>
      <c r="M39" t="inlineStr">
        <is>
          <t>PE</t>
        </is>
      </c>
      <c r="N39" t="inlineStr">
        <is>
          <t>11:48:01</t>
        </is>
      </c>
      <c r="O39" t="inlineStr">
        <is>
          <t>11:53:00</t>
        </is>
      </c>
      <c r="P39" t="n">
        <v>74</v>
      </c>
      <c r="Q39" t="n">
        <v>66.97</v>
      </c>
      <c r="R39" t="n">
        <v>95313.17</v>
      </c>
      <c r="S39" t="n">
        <v>105318.42</v>
      </c>
      <c r="T39" t="n">
        <v>73722.89999999999</v>
      </c>
      <c r="U39" t="inlineStr">
        <is>
          <t>EXECUTED</t>
        </is>
      </c>
      <c r="V39" t="n">
        <v>-97.54054054054055</v>
      </c>
      <c r="W39" t="n">
        <v>-110.9594594594595</v>
      </c>
      <c r="X39" s="2">
        <f>HYPERLINK("file:///C:/Users/Hemant/OneDrive/Documents/Projects/kiteconnect_demarker/backtesting/data_st50/DEC16_DYNAMIC/DEC12/OTM/NIFTY25D1626000PE_strategy.html", "View")</f>
        <v/>
      </c>
      <c r="AA39" t="inlineStr">
        <is>
          <t>BEARISH</t>
        </is>
      </c>
      <c r="AB39" t="inlineStr">
        <is>
          <t>INCLUDED (HYBRID_NEUTRAL_ZONE)</t>
        </is>
      </c>
      <c r="AC39" t="n">
        <v>-9.5</v>
      </c>
      <c r="AD39" t="inlineStr">
        <is>
          <t>Fixed Stop Loss</t>
        </is>
      </c>
      <c r="AE39" t="n">
        <v>-9.5</v>
      </c>
      <c r="AF39" t="n">
        <v>1.82</v>
      </c>
      <c r="AG39" t="n">
        <v>-8.109999999999999</v>
      </c>
      <c r="AH39" t="n">
        <v>0</v>
      </c>
    </row>
    <row r="40">
      <c r="A40" s="2">
        <f>HYPERLINK("file:///C:/Users/Hemant/OneDrive/Documents/Projects/kiteconnect_demarker/backtesting/data_st50/DEC16_DYNAMIC/DEC12/OTM/NIFTY25D1626000CE_strategy.csv", "NIFTY25D1626000CE")</f>
        <v/>
      </c>
      <c r="B40" t="n">
        <v>97.48999999999999</v>
      </c>
      <c r="C40" t="n">
        <v>-1</v>
      </c>
      <c r="D40" t="n">
        <v>43.18</v>
      </c>
      <c r="E40" t="n">
        <v>30.86</v>
      </c>
      <c r="F40" t="n">
        <v>-19.49</v>
      </c>
      <c r="G40" t="n">
        <v>-63.83</v>
      </c>
      <c r="H40" t="n">
        <v>83.53</v>
      </c>
      <c r="I40" t="n">
        <v>89.59</v>
      </c>
      <c r="J40" t="inlineStr">
        <is>
          <t>2025-12-12</t>
        </is>
      </c>
      <c r="K40" t="inlineStr">
        <is>
          <t>BEARISH</t>
        </is>
      </c>
      <c r="L40" t="inlineStr">
        <is>
          <t>BULLISH</t>
        </is>
      </c>
      <c r="M40" t="inlineStr">
        <is>
          <t>CE</t>
        </is>
      </c>
      <c r="N40" t="inlineStr">
        <is>
          <t>10:31:01</t>
        </is>
      </c>
      <c r="O40" t="inlineStr">
        <is>
          <t>10:49:00</t>
        </is>
      </c>
      <c r="P40" t="n">
        <v>86.3</v>
      </c>
      <c r="Q40" t="n">
        <v>78.09999999999999</v>
      </c>
      <c r="R40" t="n">
        <v>81902.5</v>
      </c>
      <c r="S40" t="n">
        <v>100000</v>
      </c>
      <c r="T40" t="n">
        <v>70000</v>
      </c>
      <c r="U40" t="inlineStr">
        <is>
          <t>EXECUTED</t>
        </is>
      </c>
      <c r="V40" t="n">
        <v>-89.25840092699885</v>
      </c>
      <c r="W40" t="n">
        <v>-115.8400926998841</v>
      </c>
      <c r="X40" s="2">
        <f>HYPERLINK("file:///C:/Users/Hemant/OneDrive/Documents/Projects/kiteconnect_demarker/backtesting/data_st50/DEC16_DYNAMIC/DEC12/OTM/NIFTY25D1626000CE_strategy.html", "View")</f>
        <v/>
      </c>
      <c r="AA40" t="inlineStr">
        <is>
          <t>NEUTRAL</t>
        </is>
      </c>
      <c r="AB40" t="inlineStr">
        <is>
          <t>INCLUDED</t>
        </is>
      </c>
      <c r="AC40" t="n">
        <v>-9.5</v>
      </c>
      <c r="AD40" t="inlineStr">
        <is>
          <t>Fixed Stop Loss</t>
        </is>
      </c>
      <c r="AE40" t="n">
        <v>-9.5</v>
      </c>
      <c r="AF40" t="n">
        <v>9.27</v>
      </c>
      <c r="AG40" t="n">
        <v>-13.67</v>
      </c>
      <c r="AH40" t="n">
        <v>0</v>
      </c>
    </row>
    <row r="41">
      <c r="A41" s="2">
        <f>HYPERLINK("file:///C:/Users/Hemant/OneDrive/Documents/Projects/kiteconnect_demarker/backtesting/data_st50/DEC16_DYNAMIC/DEC12/OTM/NIFTY25D1626000CE_strategy.csv", "NIFTY25D1626000CE")</f>
        <v/>
      </c>
      <c r="B41" t="n">
        <v>110.29</v>
      </c>
      <c r="C41" t="n">
        <v>-1</v>
      </c>
      <c r="D41" t="n">
        <v>88.64</v>
      </c>
      <c r="E41" t="n">
        <v>70.67</v>
      </c>
      <c r="F41" t="n">
        <v>-19.56</v>
      </c>
      <c r="G41" t="n">
        <v>-43.48</v>
      </c>
      <c r="H41" t="n">
        <v>97.56999999999999</v>
      </c>
      <c r="I41" t="n">
        <v>102.32</v>
      </c>
      <c r="J41" t="inlineStr">
        <is>
          <t>2025-12-12</t>
        </is>
      </c>
      <c r="K41" t="inlineStr">
        <is>
          <t>BEARISH</t>
        </is>
      </c>
      <c r="L41" t="inlineStr">
        <is>
          <t>BULLISH</t>
        </is>
      </c>
      <c r="M41" t="inlineStr">
        <is>
          <t>CE</t>
        </is>
      </c>
      <c r="N41" t="inlineStr">
        <is>
          <t>10:15:01</t>
        </is>
      </c>
      <c r="O41" t="inlineStr">
        <is>
          <t>10:22:00</t>
        </is>
      </c>
      <c r="P41" t="n">
        <v>102.45</v>
      </c>
      <c r="Q41" t="n">
        <v>92.72</v>
      </c>
      <c r="R41" t="n">
        <v>90500</v>
      </c>
      <c r="S41" t="n">
        <v>100000</v>
      </c>
      <c r="T41" t="n">
        <v>70000</v>
      </c>
      <c r="U41" t="inlineStr">
        <is>
          <t>EXECUTED</t>
        </is>
      </c>
      <c r="V41" t="n">
        <v>-91.33235724743778</v>
      </c>
      <c r="W41" t="n">
        <v>-112.9526598340654</v>
      </c>
      <c r="X41" s="2">
        <f>HYPERLINK("file:///C:/Users/Hemant/OneDrive/Documents/Projects/kiteconnect_demarker/backtesting/data_st50/DEC16_DYNAMIC/DEC12/OTM/NIFTY25D1626000CE_strategy.html", "View")</f>
        <v/>
      </c>
      <c r="AA41" t="inlineStr">
        <is>
          <t>BULLISH</t>
        </is>
      </c>
      <c r="AB41" t="inlineStr">
        <is>
          <t>INCLUDED (HYBRID_NEUTRAL_ZONE)</t>
        </is>
      </c>
      <c r="AC41" t="n">
        <v>-9.5</v>
      </c>
      <c r="AD41" t="inlineStr">
        <is>
          <t>Fixed Stop Loss</t>
        </is>
      </c>
      <c r="AE41" t="n">
        <v>-9.5</v>
      </c>
      <c r="AF41" t="n">
        <v>8.880000000000001</v>
      </c>
      <c r="AG41" t="n">
        <v>-13.27</v>
      </c>
      <c r="AH41" t="n">
        <v>0</v>
      </c>
    </row>
    <row r="42">
      <c r="A42" s="2">
        <f>HYPERLINK("file:///C:/Users/Hemant/OneDrive/Documents/Projects/kiteconnect_demarker/backtesting/data_st50/DEC16_DYNAMIC/DEC15/OTM/NIFTY25D1626000CE_strategy.csv", "NIFTY25D1626000CE")</f>
        <v/>
      </c>
      <c r="B42" t="n">
        <v>63.6</v>
      </c>
      <c r="C42" t="n">
        <v>-1</v>
      </c>
      <c r="D42" t="n">
        <v>71.88</v>
      </c>
      <c r="E42" t="n">
        <v>51.67</v>
      </c>
      <c r="F42" t="n">
        <v>-30.6</v>
      </c>
      <c r="G42" t="n">
        <v>-52.43</v>
      </c>
      <c r="H42" t="n">
        <v>55.93</v>
      </c>
      <c r="I42" t="n">
        <v>56.49</v>
      </c>
      <c r="J42" t="inlineStr">
        <is>
          <t>2025-12-15</t>
        </is>
      </c>
      <c r="K42" t="inlineStr">
        <is>
          <t>BULLISH</t>
        </is>
      </c>
      <c r="L42" t="inlineStr">
        <is>
          <t>BEARISH</t>
        </is>
      </c>
      <c r="M42" t="inlineStr">
        <is>
          <t>CE</t>
        </is>
      </c>
      <c r="N42" t="inlineStr">
        <is>
          <t>11:25:01</t>
        </is>
      </c>
      <c r="O42" t="inlineStr">
        <is>
          <t>11:33:00</t>
        </is>
      </c>
      <c r="P42" t="n">
        <v>57.8</v>
      </c>
      <c r="Q42" t="n">
        <v>53.79</v>
      </c>
      <c r="R42" t="n">
        <v>67538.37</v>
      </c>
      <c r="S42" t="n">
        <v>100000</v>
      </c>
      <c r="T42" t="n">
        <v>70000</v>
      </c>
      <c r="U42" t="inlineStr">
        <is>
          <t>EXECUTED</t>
        </is>
      </c>
      <c r="V42" t="n">
        <v>-76.05536332179929</v>
      </c>
      <c r="W42" t="n">
        <v>-117.80276816609</v>
      </c>
      <c r="X42" s="2">
        <f>HYPERLINK("file:///C:/Users/Hemant/OneDrive/Documents/Projects/kiteconnect_demarker/backtesting/data_st50/DEC16_DYNAMIC/DEC15/OTM/NIFTY25D1626000CE_strategy.html", "View")</f>
        <v/>
      </c>
      <c r="AA42" t="inlineStr">
        <is>
          <t>BULLISH</t>
        </is>
      </c>
      <c r="AB42" t="inlineStr">
        <is>
          <t>INCLUDED (HYBRID_NEUTRAL_ZONE)</t>
        </is>
      </c>
      <c r="AC42" t="n">
        <v>-6.94</v>
      </c>
      <c r="AD42" t="inlineStr">
        <is>
          <t>SuperTrend Stop Loss Exit</t>
        </is>
      </c>
      <c r="AE42" t="n">
        <v>-6.94</v>
      </c>
      <c r="AF42" t="n">
        <v>13.84</v>
      </c>
      <c r="AG42" t="n">
        <v>-10.29</v>
      </c>
      <c r="AH42" t="n">
        <v>0</v>
      </c>
    </row>
    <row r="43">
      <c r="A43" s="2">
        <f>HYPERLINK("file:///C:/Users/Hemant/OneDrive/Documents/Projects/kiteconnect_demarker/backtesting/data_st50/DEC16_DYNAMIC/DEC15/OTM/NIFTY25D1625950PE_strategy.csv", "NIFTY25D1625950PE")</f>
        <v/>
      </c>
      <c r="B43" t="n">
        <v>63.51</v>
      </c>
      <c r="C43" t="n">
        <v>-1</v>
      </c>
      <c r="D43" t="n">
        <v>17.97</v>
      </c>
      <c r="E43" t="n">
        <v>19.15</v>
      </c>
      <c r="F43" t="n">
        <v>-77.54000000000001</v>
      </c>
      <c r="G43" t="n">
        <v>-86.89</v>
      </c>
      <c r="H43" t="n">
        <v>54.58</v>
      </c>
      <c r="I43" t="n">
        <v>56.65</v>
      </c>
      <c r="J43" t="inlineStr">
        <is>
          <t>2025-12-15</t>
        </is>
      </c>
      <c r="K43" t="inlineStr">
        <is>
          <t>BULLISH</t>
        </is>
      </c>
      <c r="L43" t="inlineStr">
        <is>
          <t>BEARISH</t>
        </is>
      </c>
      <c r="M43" t="inlineStr">
        <is>
          <t>PE</t>
        </is>
      </c>
      <c r="N43" t="inlineStr">
        <is>
          <t>10:53:01</t>
        </is>
      </c>
      <c r="O43" t="inlineStr">
        <is>
          <t>11:27:00</t>
        </is>
      </c>
      <c r="P43" t="n">
        <v>52.45</v>
      </c>
      <c r="Q43" t="n">
        <v>47.47</v>
      </c>
      <c r="R43" t="n">
        <v>72575.09</v>
      </c>
      <c r="S43" t="n">
        <v>100000</v>
      </c>
      <c r="T43" t="n">
        <v>70000</v>
      </c>
      <c r="U43" t="inlineStr">
        <is>
          <t>EXECUTED</t>
        </is>
      </c>
      <c r="V43" t="n">
        <v>-73.09818875119161</v>
      </c>
      <c r="W43" t="n">
        <v>-115.2716873212583</v>
      </c>
      <c r="X43" s="2">
        <f>HYPERLINK("file:///C:/Users/Hemant/OneDrive/Documents/Projects/kiteconnect_demarker/backtesting/data_st50/DEC16_DYNAMIC/DEC15/OTM/NIFTY25D1625950PE_strategy.html", "View")</f>
        <v/>
      </c>
      <c r="AA43" t="inlineStr">
        <is>
          <t>NEUTRAL</t>
        </is>
      </c>
      <c r="AB43" t="inlineStr">
        <is>
          <t>INCLUDED</t>
        </is>
      </c>
      <c r="AC43" t="n">
        <v>-9.49</v>
      </c>
      <c r="AD43" t="inlineStr">
        <is>
          <t>Fixed Stop Loss</t>
        </is>
      </c>
      <c r="AE43" t="n">
        <v>-9.49</v>
      </c>
      <c r="AF43" t="n">
        <v>14.11</v>
      </c>
      <c r="AG43" t="n">
        <v>-8.01</v>
      </c>
      <c r="AH43" t="n">
        <v>0</v>
      </c>
    </row>
    <row r="44">
      <c r="A44" s="2">
        <f>HYPERLINK("file:///C:/Users/Hemant/OneDrive/Documents/Projects/kiteconnect_demarker/backtesting/data_st50/DEC16_DYNAMIC/DEC15/OTM/NIFTY25D1625950PE_strategy.csv", "NIFTY25D1625950PE")</f>
        <v/>
      </c>
      <c r="B44" t="n">
        <v>68.45999999999999</v>
      </c>
      <c r="C44" t="n">
        <v>-1</v>
      </c>
      <c r="D44" t="n">
        <v>91.04000000000001</v>
      </c>
      <c r="E44" t="n">
        <v>71.64</v>
      </c>
      <c r="F44" t="n">
        <v>-10.93</v>
      </c>
      <c r="G44" t="n">
        <v>-48.72</v>
      </c>
      <c r="H44" t="n">
        <v>59.34</v>
      </c>
      <c r="I44" t="n">
        <v>61.48</v>
      </c>
      <c r="J44" t="inlineStr">
        <is>
          <t>2025-12-15</t>
        </is>
      </c>
      <c r="K44" t="inlineStr">
        <is>
          <t>BULLISH</t>
        </is>
      </c>
      <c r="L44" t="inlineStr">
        <is>
          <t>BEARISH</t>
        </is>
      </c>
      <c r="M44" t="inlineStr">
        <is>
          <t>PE</t>
        </is>
      </c>
      <c r="N44" t="inlineStr">
        <is>
          <t>10:37:01</t>
        </is>
      </c>
      <c r="O44" t="inlineStr">
        <is>
          <t>10:45:00</t>
        </is>
      </c>
      <c r="P44" t="n">
        <v>63.7</v>
      </c>
      <c r="Q44" t="n">
        <v>57.96</v>
      </c>
      <c r="R44" t="n">
        <v>73841.61</v>
      </c>
      <c r="S44" t="n">
        <v>100000</v>
      </c>
      <c r="T44" t="n">
        <v>70000</v>
      </c>
      <c r="U44" t="inlineStr">
        <is>
          <t>EXECUTED</t>
        </is>
      </c>
      <c r="V44" t="n">
        <v>-79.79591836734694</v>
      </c>
      <c r="W44" t="n">
        <v>-121.0675039246468</v>
      </c>
      <c r="X44" s="2">
        <f>HYPERLINK("file:///C:/Users/Hemant/OneDrive/Documents/Projects/kiteconnect_demarker/backtesting/data_st50/DEC16_DYNAMIC/DEC15/OTM/NIFTY25D1625950PE_strategy.html", "View")</f>
        <v/>
      </c>
      <c r="AA44" t="inlineStr">
        <is>
          <t>NEUTRAL</t>
        </is>
      </c>
      <c r="AB44" t="inlineStr">
        <is>
          <t>INCLUDED</t>
        </is>
      </c>
      <c r="AC44" t="n">
        <v>-9.01</v>
      </c>
      <c r="AD44" t="inlineStr">
        <is>
          <t>SuperTrend Stop Loss Exit</t>
        </is>
      </c>
      <c r="AE44" t="n">
        <v>-9.01</v>
      </c>
      <c r="AF44" t="n">
        <v>12.87</v>
      </c>
      <c r="AG44" t="n">
        <v>-13.42</v>
      </c>
      <c r="AH44" t="n">
        <v>0</v>
      </c>
    </row>
    <row r="45">
      <c r="A45" s="2">
        <f>HYPERLINK("file:///C:/Users/Hemant/OneDrive/Documents/Projects/kiteconnect_demarker/backtesting/data_st50/DEC16_DYNAMIC/DEC15/OTM/NIFTY25D1625950PE_strategy.csv", "NIFTY25D1625950PE")</f>
        <v/>
      </c>
      <c r="B45" t="n">
        <v>78.48999999999999</v>
      </c>
      <c r="C45" t="n">
        <v>-1</v>
      </c>
      <c r="D45" t="n">
        <v>21.04</v>
      </c>
      <c r="E45" t="n">
        <v>28.54</v>
      </c>
      <c r="F45" t="n">
        <v>-97.98999999999999</v>
      </c>
      <c r="G45" t="n">
        <v>-98.59</v>
      </c>
      <c r="H45" t="n">
        <v>67.76000000000001</v>
      </c>
      <c r="I45" t="n">
        <v>68.40000000000001</v>
      </c>
      <c r="J45" t="inlineStr">
        <is>
          <t>2025-12-15</t>
        </is>
      </c>
      <c r="K45" t="inlineStr">
        <is>
          <t>BULLISH</t>
        </is>
      </c>
      <c r="L45" t="inlineStr">
        <is>
          <t>BEARISH</t>
        </is>
      </c>
      <c r="M45" t="inlineStr">
        <is>
          <t>PE</t>
        </is>
      </c>
      <c r="N45" t="inlineStr">
        <is>
          <t>10:18:01</t>
        </is>
      </c>
      <c r="O45" t="inlineStr">
        <is>
          <t>10:26:00</t>
        </is>
      </c>
      <c r="P45" t="n">
        <v>65.84999999999999</v>
      </c>
      <c r="Q45" t="n">
        <v>59.59</v>
      </c>
      <c r="R45" t="n">
        <v>81153.53999999999</v>
      </c>
      <c r="S45" t="n">
        <v>100000</v>
      </c>
      <c r="T45" t="n">
        <v>70000</v>
      </c>
      <c r="U45" t="inlineStr">
        <is>
          <t>EXECUTED</t>
        </is>
      </c>
      <c r="V45" t="n">
        <v>-92.27031131359149</v>
      </c>
      <c r="W45" t="n">
        <v>-109.6886864085042</v>
      </c>
      <c r="X45" s="2">
        <f>HYPERLINK("file:///C:/Users/Hemant/OneDrive/Documents/Projects/kiteconnect_demarker/backtesting/data_st50/DEC16_DYNAMIC/DEC15/OTM/NIFTY25D1625950PE_strategy.html", "View")</f>
        <v/>
      </c>
      <c r="AA45" t="inlineStr">
        <is>
          <t>NEUTRAL</t>
        </is>
      </c>
      <c r="AB45" t="inlineStr">
        <is>
          <t>INCLUDED</t>
        </is>
      </c>
      <c r="AC45" t="n">
        <v>-9.51</v>
      </c>
      <c r="AD45" t="inlineStr">
        <is>
          <t>Fixed Stop Loss</t>
        </is>
      </c>
      <c r="AE45" t="n">
        <v>-9.51</v>
      </c>
      <c r="AF45" t="n">
        <v>5.09</v>
      </c>
      <c r="AG45" t="n">
        <v>-6.38</v>
      </c>
      <c r="AH45" t="n">
        <v>0</v>
      </c>
    </row>
    <row r="46">
      <c r="A46" s="2">
        <f>HYPERLINK("file:///C:/Users/Hemant/OneDrive/Documents/Projects/kiteconnect_demarker/backtesting/data_st50/DEC16_DYNAMIC/DEC15/OTM/NIFTY25D1625900PE_strategy.csv", "NIFTY25D1625900PE")</f>
        <v/>
      </c>
      <c r="B46" t="n">
        <v>59.1</v>
      </c>
      <c r="C46" t="n">
        <v>-1</v>
      </c>
      <c r="D46" t="n">
        <v>84.88</v>
      </c>
      <c r="E46" t="n">
        <v>84.92</v>
      </c>
      <c r="F46" t="n">
        <v>-66.67</v>
      </c>
      <c r="G46" t="n">
        <v>-89.36</v>
      </c>
      <c r="H46" t="n">
        <v>50.17</v>
      </c>
      <c r="I46" t="n">
        <v>51.31</v>
      </c>
      <c r="J46" t="inlineStr">
        <is>
          <t>2025-12-15</t>
        </is>
      </c>
      <c r="K46" t="inlineStr">
        <is>
          <t>BULLISH</t>
        </is>
      </c>
      <c r="L46" t="inlineStr">
        <is>
          <t>BEARISH</t>
        </is>
      </c>
      <c r="M46" t="inlineStr">
        <is>
          <t>PE</t>
        </is>
      </c>
      <c r="N46" t="inlineStr">
        <is>
          <t>10:12:01</t>
        </is>
      </c>
      <c r="O46" t="inlineStr">
        <is>
          <t>10:13:00</t>
        </is>
      </c>
      <c r="P46" t="n">
        <v>52.7</v>
      </c>
      <c r="Q46" t="n">
        <v>47.69</v>
      </c>
      <c r="R46" t="n">
        <v>74105.38</v>
      </c>
      <c r="S46" t="n">
        <v>100000</v>
      </c>
      <c r="T46" t="n">
        <v>70000</v>
      </c>
      <c r="U46" t="inlineStr">
        <is>
          <t>EXECUTED</t>
        </is>
      </c>
      <c r="V46" t="n">
        <v>-100</v>
      </c>
      <c r="W46" t="n">
        <v>-123.5863377609108</v>
      </c>
      <c r="X46" s="2">
        <f>HYPERLINK("file:///C:/Users/Hemant/OneDrive/Documents/Projects/kiteconnect_demarker/backtesting/data_st50/DEC16_DYNAMIC/DEC15/OTM/NIFTY25D1625900PE_strategy.html", "View")</f>
        <v/>
      </c>
      <c r="AA46" t="inlineStr">
        <is>
          <t>NEUTRAL</t>
        </is>
      </c>
      <c r="AB46" t="inlineStr">
        <is>
          <t>INCLUDED</t>
        </is>
      </c>
      <c r="AC46" t="n">
        <v>-9.51</v>
      </c>
      <c r="AD46" t="inlineStr">
        <is>
          <t>Fixed Stop Loss</t>
        </is>
      </c>
      <c r="AE46" t="n">
        <v>-9.51</v>
      </c>
      <c r="AF46" t="n">
        <v>0</v>
      </c>
      <c r="AG46" t="n">
        <v>-12.43</v>
      </c>
      <c r="AH46" t="n">
        <v>0</v>
      </c>
    </row>
    <row r="47">
      <c r="A47" s="2">
        <f>HYPERLINK("file:///C:/Users/Hemant/OneDrive/Documents/Projects/kiteconnect_demarker/backtesting/data_st50/DEC16_DYNAMIC/DEC15/OTM/NIFTY25D1625950PE_strategy.csv", "NIFTY25D1625950PE")</f>
        <v/>
      </c>
      <c r="B47" t="n">
        <v>84.17</v>
      </c>
      <c r="C47" t="n">
        <v>-1</v>
      </c>
      <c r="D47" t="n">
        <v>36.35</v>
      </c>
      <c r="E47" t="n">
        <v>20.8</v>
      </c>
      <c r="F47" t="n">
        <v>-89.81</v>
      </c>
      <c r="G47" t="n">
        <v>-95.5</v>
      </c>
      <c r="H47" t="n">
        <v>72.23999999999999</v>
      </c>
      <c r="I47" t="n">
        <v>74.43000000000001</v>
      </c>
      <c r="J47" t="inlineStr">
        <is>
          <t>2025-12-15</t>
        </is>
      </c>
      <c r="K47" t="inlineStr">
        <is>
          <t>BULLISH</t>
        </is>
      </c>
      <c r="L47" t="inlineStr">
        <is>
          <t>BEARISH</t>
        </is>
      </c>
      <c r="M47" t="inlineStr">
        <is>
          <t>PE</t>
        </is>
      </c>
      <c r="N47" t="inlineStr">
        <is>
          <t>10:04:01</t>
        </is>
      </c>
      <c r="O47" t="inlineStr">
        <is>
          <t>10:07:00</t>
        </is>
      </c>
      <c r="P47" t="n">
        <v>75.40000000000001</v>
      </c>
      <c r="Q47" t="n">
        <v>68.23999999999999</v>
      </c>
      <c r="R47" t="n">
        <v>81893.45</v>
      </c>
      <c r="S47" t="n">
        <v>100000</v>
      </c>
      <c r="T47" t="n">
        <v>70000</v>
      </c>
      <c r="U47" t="inlineStr">
        <is>
          <t>EXECUTED</t>
        </is>
      </c>
      <c r="V47" t="n">
        <v>-99.56233421750663</v>
      </c>
      <c r="W47" t="n">
        <v>-113.0106100795756</v>
      </c>
      <c r="X47" s="2">
        <f>HYPERLINK("file:///C:/Users/Hemant/OneDrive/Documents/Projects/kiteconnect_demarker/backtesting/data_st50/DEC16_DYNAMIC/DEC15/OTM/NIFTY25D1625950PE_strategy.html", "View")</f>
        <v/>
      </c>
      <c r="AA47" t="inlineStr">
        <is>
          <t>BEARISH</t>
        </is>
      </c>
      <c r="AB47" t="inlineStr">
        <is>
          <t>INCLUDED (HYBRID_NEUTRAL_ZONE)</t>
        </is>
      </c>
      <c r="AC47" t="n">
        <v>-9.5</v>
      </c>
      <c r="AD47" t="inlineStr">
        <is>
          <t>Fixed Stop Loss</t>
        </is>
      </c>
      <c r="AE47" t="n">
        <v>-9.5</v>
      </c>
      <c r="AF47" t="n">
        <v>0.33</v>
      </c>
      <c r="AG47" t="n">
        <v>-9.81</v>
      </c>
      <c r="AH47" t="n">
        <v>0</v>
      </c>
    </row>
    <row r="48">
      <c r="A48" s="2">
        <f>HYPERLINK("file:///C:/Users/Hemant/OneDrive/Documents/Projects/kiteconnect_demarker/backtesting/data_st50/DEC16_DYNAMIC/DEC15/OTM/NIFTY25D1625900PE_strategy.csv", "NIFTY25D1625900PE")</f>
        <v/>
      </c>
      <c r="B48" t="n">
        <v>69.42</v>
      </c>
      <c r="C48" t="n">
        <v>-1</v>
      </c>
      <c r="D48" t="n">
        <v>20.1</v>
      </c>
      <c r="E48" t="n">
        <v>20.21</v>
      </c>
      <c r="F48" t="n">
        <v>-67.36</v>
      </c>
      <c r="G48" t="n">
        <v>-87.81999999999999</v>
      </c>
      <c r="H48" t="n">
        <v>56.21</v>
      </c>
      <c r="I48" t="n">
        <v>57.85</v>
      </c>
      <c r="J48" t="inlineStr">
        <is>
          <t>2025-12-15</t>
        </is>
      </c>
      <c r="K48" t="inlineStr">
        <is>
          <t>BULLISH</t>
        </is>
      </c>
      <c r="L48" t="inlineStr">
        <is>
          <t>BEARISH</t>
        </is>
      </c>
      <c r="M48" t="inlineStr">
        <is>
          <t>PE</t>
        </is>
      </c>
      <c r="N48" t="inlineStr">
        <is>
          <t>09:57:01</t>
        </is>
      </c>
      <c r="O48" t="inlineStr">
        <is>
          <t>09:58:00</t>
        </is>
      </c>
      <c r="P48" t="n">
        <v>56.7</v>
      </c>
      <c r="Q48" t="n">
        <v>51.31</v>
      </c>
      <c r="R48" t="n">
        <v>90490</v>
      </c>
      <c r="S48" t="n">
        <v>100000</v>
      </c>
      <c r="T48" t="n">
        <v>70000</v>
      </c>
      <c r="U48" t="inlineStr">
        <is>
          <t>EXECUTED</t>
        </is>
      </c>
      <c r="V48" t="n">
        <v>-100</v>
      </c>
      <c r="W48" t="n">
        <v>-112.4338624338624</v>
      </c>
      <c r="X48" s="2">
        <f>HYPERLINK("file:///C:/Users/Hemant/OneDrive/Documents/Projects/kiteconnect_demarker/backtesting/data_st50/DEC16_DYNAMIC/DEC15/OTM/NIFTY25D1625900PE_strategy.html", "View")</f>
        <v/>
      </c>
      <c r="AA48" t="inlineStr">
        <is>
          <t>NEUTRAL</t>
        </is>
      </c>
      <c r="AB48" t="inlineStr">
        <is>
          <t>INCLUDED</t>
        </is>
      </c>
      <c r="AC48" t="n">
        <v>-9.51</v>
      </c>
      <c r="AD48" t="inlineStr">
        <is>
          <t>Fixed Stop Loss</t>
        </is>
      </c>
      <c r="AE48" t="n">
        <v>-9.51</v>
      </c>
      <c r="AF48" t="n">
        <v>0</v>
      </c>
      <c r="AG48" t="n">
        <v>-7.05</v>
      </c>
      <c r="AH48" t="n">
        <v>0</v>
      </c>
    </row>
    <row r="49">
      <c r="A49" s="2">
        <f>HYPERLINK("file:///C:/Users/Hemant/OneDrive/Documents/Projects/kiteconnect_demarker/backtesting/data_st50/JAN13_DYNAMIC/JAN07/OTM/NIFTY2611326150PE_strategy.csv", "NIFTY2611326150PE")</f>
        <v/>
      </c>
      <c r="B49" t="n">
        <v>89.06999999999999</v>
      </c>
      <c r="C49" t="n">
        <v>-1</v>
      </c>
      <c r="D49" t="n">
        <v>42.98</v>
      </c>
      <c r="E49" t="n">
        <v>25.85</v>
      </c>
      <c r="F49" t="n">
        <v>-65.62</v>
      </c>
      <c r="G49" t="n">
        <v>-76.19</v>
      </c>
      <c r="H49" t="n">
        <v>82.06</v>
      </c>
      <c r="I49" t="n">
        <v>84.75</v>
      </c>
      <c r="J49" t="inlineStr">
        <is>
          <t>2026-01-07</t>
        </is>
      </c>
      <c r="K49" t="inlineStr">
        <is>
          <t>BULLISH</t>
        </is>
      </c>
      <c r="M49" t="inlineStr">
        <is>
          <t>PE</t>
        </is>
      </c>
      <c r="N49" t="inlineStr">
        <is>
          <t>10:59:01</t>
        </is>
      </c>
      <c r="O49" t="inlineStr">
        <is>
          <t>11:04:00</t>
        </is>
      </c>
      <c r="P49" t="n">
        <v>85</v>
      </c>
      <c r="Q49" t="n">
        <v>76.92</v>
      </c>
      <c r="R49" t="n">
        <v>101244.58</v>
      </c>
      <c r="S49" t="n">
        <v>111884.83</v>
      </c>
      <c r="T49" t="n">
        <v>78319.38</v>
      </c>
      <c r="U49" t="inlineStr">
        <is>
          <t>EXECUTED</t>
        </is>
      </c>
      <c r="V49" t="n">
        <v>-100</v>
      </c>
      <c r="W49" t="n">
        <v>-113.4941176470588</v>
      </c>
      <c r="X49" s="2">
        <f>HYPERLINK("file:///C:/Users/Hemant/OneDrive/Documents/Projects/kiteconnect_demarker/backtesting/data_st50/JAN13_DYNAMIC/JAN07/OTM/NIFTY2611326150PE_strategy.html", "View")</f>
        <v/>
      </c>
      <c r="AA49" t="inlineStr">
        <is>
          <t>NEUTRAL</t>
        </is>
      </c>
      <c r="AB49" t="inlineStr">
        <is>
          <t>INCLUDED</t>
        </is>
      </c>
      <c r="AC49" t="n">
        <v>-9.51</v>
      </c>
      <c r="AD49" t="inlineStr">
        <is>
          <t>Fixed Stop Loss</t>
        </is>
      </c>
      <c r="AE49" t="n">
        <v>-9.51</v>
      </c>
      <c r="AF49" t="n">
        <v>0</v>
      </c>
      <c r="AG49" t="n">
        <v>-11.47</v>
      </c>
      <c r="AH49" t="n">
        <v>0</v>
      </c>
    </row>
    <row r="50">
      <c r="A50" s="2">
        <f>HYPERLINK("file:///C:/Users/Hemant/OneDrive/Documents/Projects/kiteconnect_demarker/backtesting/data_st50/JAN13_DYNAMIC/JAN07/OTM/NIFTY2611326150CE_strategy.csv", "NIFTY2611326150CE")</f>
        <v/>
      </c>
      <c r="B50" t="n">
        <v>118.8</v>
      </c>
      <c r="C50" t="n">
        <v>-1</v>
      </c>
      <c r="D50" t="n">
        <v>42.19</v>
      </c>
      <c r="E50" t="n">
        <v>31.91</v>
      </c>
      <c r="F50" t="n">
        <v>-75.34999999999999</v>
      </c>
      <c r="G50" t="n">
        <v>-77.86</v>
      </c>
      <c r="H50" t="n">
        <v>104.19</v>
      </c>
      <c r="I50" t="n">
        <v>106.66</v>
      </c>
      <c r="J50" t="inlineStr">
        <is>
          <t>2026-01-07</t>
        </is>
      </c>
      <c r="K50" t="inlineStr">
        <is>
          <t>BEARISH</t>
        </is>
      </c>
      <c r="M50" t="inlineStr">
        <is>
          <t>CE</t>
        </is>
      </c>
      <c r="N50" t="inlineStr">
        <is>
          <t>09:49:01</t>
        </is>
      </c>
      <c r="O50" t="inlineStr">
        <is>
          <t>09:52:00</t>
        </is>
      </c>
      <c r="P50" t="n">
        <v>107.55</v>
      </c>
      <c r="Q50" t="n">
        <v>97.33</v>
      </c>
      <c r="R50" t="n">
        <v>84445.55</v>
      </c>
      <c r="S50" t="n">
        <v>100000</v>
      </c>
      <c r="T50" t="n">
        <v>70000</v>
      </c>
      <c r="U50" t="inlineStr">
        <is>
          <t>EXECUTED</t>
        </is>
      </c>
      <c r="V50" t="n">
        <v>-100</v>
      </c>
      <c r="W50" t="n">
        <v>-109.3351929335193</v>
      </c>
      <c r="X50" s="2">
        <f>HYPERLINK("file:///C:/Users/Hemant/OneDrive/Documents/Projects/kiteconnect_demarker/backtesting/data_st50/JAN13_DYNAMIC/JAN07/OTM/NIFTY2611326150CE_strategy.html", "View")</f>
        <v/>
      </c>
      <c r="AA50" t="inlineStr">
        <is>
          <t>BULLISH</t>
        </is>
      </c>
      <c r="AB50" t="inlineStr">
        <is>
          <t>INCLUDED (HYBRID_NEUTRAL_ZONE)</t>
        </is>
      </c>
      <c r="AC50" t="n">
        <v>-9.5</v>
      </c>
      <c r="AD50" t="inlineStr">
        <is>
          <t>Fixed Stop Loss</t>
        </is>
      </c>
      <c r="AE50" t="n">
        <v>-9.5</v>
      </c>
      <c r="AF50" t="n">
        <v>0</v>
      </c>
      <c r="AG50" t="n">
        <v>-10.04</v>
      </c>
      <c r="AH50" t="n">
        <v>0</v>
      </c>
    </row>
    <row r="51">
      <c r="A51" s="2">
        <f>HYPERLINK("file:///C:/Users/Hemant/OneDrive/Documents/Projects/kiteconnect_demarker/backtesting/data_st50/JAN13_DYNAMIC/JAN07/OTM/NIFTY2611326150CE_strategy.csv", "NIFTY2611326150CE")</f>
        <v/>
      </c>
      <c r="B51" t="n">
        <v>121.27</v>
      </c>
      <c r="C51" t="n">
        <v>-1</v>
      </c>
      <c r="D51" t="n">
        <v>34.36</v>
      </c>
      <c r="E51" t="n">
        <v>29.86</v>
      </c>
      <c r="F51" t="n">
        <v>-85.15000000000001</v>
      </c>
      <c r="G51" t="n">
        <v>-86.23999999999999</v>
      </c>
      <c r="H51" t="n">
        <v>119.85</v>
      </c>
      <c r="I51" t="n">
        <v>123.07</v>
      </c>
      <c r="J51" t="inlineStr">
        <is>
          <t>2026-01-07</t>
        </is>
      </c>
      <c r="K51" t="inlineStr">
        <is>
          <t>BEARISH</t>
        </is>
      </c>
      <c r="M51" t="inlineStr">
        <is>
          <t>CE</t>
        </is>
      </c>
      <c r="N51" t="inlineStr">
        <is>
          <t>09:19:01</t>
        </is>
      </c>
      <c r="O51" t="inlineStr">
        <is>
          <t>09:43:00</t>
        </is>
      </c>
      <c r="P51" t="n">
        <v>106.8</v>
      </c>
      <c r="Q51" t="n">
        <v>99.65000000000001</v>
      </c>
      <c r="R51" t="n">
        <v>93310</v>
      </c>
      <c r="S51" t="n">
        <v>100000</v>
      </c>
      <c r="T51" t="n">
        <v>70000</v>
      </c>
      <c r="U51" t="inlineStr">
        <is>
          <t>EXECUTED</t>
        </is>
      </c>
      <c r="V51" t="n">
        <v>-83.42696629213484</v>
      </c>
      <c r="W51" t="n">
        <v>-111.001872659176</v>
      </c>
      <c r="X51" s="2">
        <f>HYPERLINK("file:///C:/Users/Hemant/OneDrive/Documents/Projects/kiteconnect_demarker/backtesting/data_st50/JAN13_DYNAMIC/JAN07/OTM/NIFTY2611326150CE_strategy.html", "View")</f>
        <v/>
      </c>
      <c r="AA51" t="inlineStr">
        <is>
          <t>BULLISH</t>
        </is>
      </c>
      <c r="AB51" t="inlineStr">
        <is>
          <t>INCLUDED (HYBRID_NEUTRAL_ZONE)</t>
        </is>
      </c>
      <c r="AC51" t="n">
        <v>-6.69</v>
      </c>
      <c r="AD51" t="inlineStr">
        <is>
          <t>SuperTrend Stop Loss Exit</t>
        </is>
      </c>
      <c r="AE51" t="n">
        <v>-6.69</v>
      </c>
      <c r="AF51" t="n">
        <v>17.7</v>
      </c>
      <c r="AG51" t="n">
        <v>-11.75</v>
      </c>
      <c r="AH51" t="n">
        <v>0</v>
      </c>
    </row>
    <row r="52">
      <c r="A52" s="2">
        <f>HYPERLINK("file:///C:/Users/Hemant/OneDrive/Documents/Projects/kiteconnect_demarker/backtesting/data_st50/JAN13_DYNAMIC/JAN08/OTM/NIFTY2611326050CE_strategy.csv", "NIFTY2611326050CE")</f>
        <v/>
      </c>
      <c r="B52" t="n">
        <v>101.64</v>
      </c>
      <c r="C52" t="n">
        <v>-1</v>
      </c>
      <c r="D52" t="n">
        <v>53.44</v>
      </c>
      <c r="E52" t="n">
        <v>42.56</v>
      </c>
      <c r="F52" t="n">
        <v>-37.08</v>
      </c>
      <c r="G52" t="n">
        <v>-56.59</v>
      </c>
      <c r="H52" t="n">
        <v>94.06999999999999</v>
      </c>
      <c r="I52" t="n">
        <v>94.7</v>
      </c>
      <c r="J52" t="inlineStr">
        <is>
          <t>2026-01-08</t>
        </is>
      </c>
      <c r="K52" t="inlineStr">
        <is>
          <t>BEARISH</t>
        </is>
      </c>
      <c r="M52" t="inlineStr">
        <is>
          <t>CE</t>
        </is>
      </c>
      <c r="N52" t="inlineStr">
        <is>
          <t>10:56:01</t>
        </is>
      </c>
      <c r="O52" t="inlineStr">
        <is>
          <t>11:02:00</t>
        </is>
      </c>
      <c r="P52" t="n">
        <v>92.45</v>
      </c>
      <c r="Q52" t="n">
        <v>86.83</v>
      </c>
      <c r="R52" t="n">
        <v>74115.64</v>
      </c>
      <c r="S52" t="n">
        <v>100000</v>
      </c>
      <c r="T52" t="n">
        <v>70000</v>
      </c>
      <c r="U52" t="inlineStr">
        <is>
          <t>EXECUTED</t>
        </is>
      </c>
      <c r="V52" t="n">
        <v>-97.01460248783125</v>
      </c>
      <c r="W52" t="n">
        <v>-104.6187128177393</v>
      </c>
      <c r="X52" s="2">
        <f>HYPERLINK("file:///C:/Users/Hemant/OneDrive/Documents/Projects/kiteconnect_demarker/backtesting/data_st50/JAN13_DYNAMIC/JAN08/OTM/NIFTY2611326050CE_strategy.html", "View")</f>
        <v/>
      </c>
      <c r="AA52" t="inlineStr">
        <is>
          <t>NEUTRAL</t>
        </is>
      </c>
      <c r="AB52" t="inlineStr">
        <is>
          <t>INCLUDED</t>
        </is>
      </c>
      <c r="AC52" t="n">
        <v>-6.08</v>
      </c>
      <c r="AD52" t="inlineStr">
        <is>
          <t>Fixed Stop Loss</t>
        </is>
      </c>
      <c r="AE52" t="n">
        <v>-6.08</v>
      </c>
      <c r="AF52" t="n">
        <v>2.76</v>
      </c>
      <c r="AG52" t="n">
        <v>-4.27</v>
      </c>
      <c r="AH52" t="n">
        <v>0</v>
      </c>
    </row>
    <row r="53">
      <c r="A53" s="2">
        <f>HYPERLINK("file:///C:/Users/Hemant/OneDrive/Documents/Projects/kiteconnect_demarker/backtesting/data_st50/JAN13_DYNAMIC/JAN08/OTM/NIFTY2611326050CE_strategy.csv", "NIFTY2611326050CE")</f>
        <v/>
      </c>
      <c r="B53" t="n">
        <v>106.31</v>
      </c>
      <c r="C53" t="n">
        <v>-1</v>
      </c>
      <c r="D53" t="n">
        <v>82.06</v>
      </c>
      <c r="E53" t="n">
        <v>73.97</v>
      </c>
      <c r="F53" t="n">
        <v>-7.95</v>
      </c>
      <c r="G53" t="n">
        <v>-42.86</v>
      </c>
      <c r="H53" t="n">
        <v>97.86</v>
      </c>
      <c r="I53" t="n">
        <v>98.61</v>
      </c>
      <c r="J53" t="inlineStr">
        <is>
          <t>2026-01-08</t>
        </is>
      </c>
      <c r="K53" t="inlineStr">
        <is>
          <t>BEARISH</t>
        </is>
      </c>
      <c r="M53" t="inlineStr">
        <is>
          <t>CE</t>
        </is>
      </c>
      <c r="N53" t="inlineStr">
        <is>
          <t>10:35:01</t>
        </is>
      </c>
      <c r="O53" t="inlineStr">
        <is>
          <t>10:52:00</t>
        </is>
      </c>
      <c r="P53" t="n">
        <v>100.15</v>
      </c>
      <c r="Q53" t="n">
        <v>90.64</v>
      </c>
      <c r="R53" t="n">
        <v>78913.59</v>
      </c>
      <c r="S53" t="n">
        <v>100000</v>
      </c>
      <c r="T53" t="n">
        <v>70000</v>
      </c>
      <c r="U53" t="inlineStr">
        <is>
          <t>EXECUTED</t>
        </is>
      </c>
      <c r="V53" t="n">
        <v>-98.85172241637544</v>
      </c>
      <c r="W53" t="n">
        <v>-106.280579131303</v>
      </c>
      <c r="X53" s="2">
        <f>HYPERLINK("file:///C:/Users/Hemant/OneDrive/Documents/Projects/kiteconnect_demarker/backtesting/data_st50/JAN13_DYNAMIC/JAN08/OTM/NIFTY2611326050CE_strategy.html", "View")</f>
        <v/>
      </c>
      <c r="AA53" t="inlineStr">
        <is>
          <t>NEUTRAL</t>
        </is>
      </c>
      <c r="AB53" t="inlineStr">
        <is>
          <t>INCLUDED</t>
        </is>
      </c>
      <c r="AC53" t="n">
        <v>-9.5</v>
      </c>
      <c r="AD53" t="inlineStr">
        <is>
          <t>Fixed Stop Loss</t>
        </is>
      </c>
      <c r="AE53" t="n">
        <v>-9.5</v>
      </c>
      <c r="AF53" t="n">
        <v>1.15</v>
      </c>
      <c r="AG53" t="n">
        <v>-6.29</v>
      </c>
      <c r="AH53" t="n">
        <v>0</v>
      </c>
    </row>
    <row r="54">
      <c r="A54" s="2">
        <f>HYPERLINK("file:///C:/Users/Hemant/OneDrive/Documents/Projects/kiteconnect_demarker/backtesting/data_st50/JAN13_DYNAMIC/JAN08/OTM/NIFTY2611326100CE_strategy.csv", "NIFTY2611326100CE")</f>
        <v/>
      </c>
      <c r="B54" t="n">
        <v>95.43000000000001</v>
      </c>
      <c r="C54" t="n">
        <v>-1</v>
      </c>
      <c r="D54" t="n">
        <v>100</v>
      </c>
      <c r="E54" t="n">
        <v>97.14</v>
      </c>
      <c r="F54" t="n">
        <v>-2.41</v>
      </c>
      <c r="G54" t="n">
        <v>-74.45999999999999</v>
      </c>
      <c r="H54" t="n">
        <v>83.93000000000001</v>
      </c>
      <c r="I54" t="n">
        <v>89.28</v>
      </c>
      <c r="J54" t="inlineStr">
        <is>
          <t>2026-01-08</t>
        </is>
      </c>
      <c r="K54" t="inlineStr">
        <is>
          <t>BULLISH</t>
        </is>
      </c>
      <c r="M54" t="inlineStr">
        <is>
          <t>CE</t>
        </is>
      </c>
      <c r="N54" t="inlineStr">
        <is>
          <t>09:38:01</t>
        </is>
      </c>
      <c r="O54" t="inlineStr">
        <is>
          <t>09:52:00</t>
        </is>
      </c>
      <c r="P54" t="n">
        <v>90.2</v>
      </c>
      <c r="Q54" t="n">
        <v>86.90000000000001</v>
      </c>
      <c r="R54" t="n">
        <v>87197.33</v>
      </c>
      <c r="S54" t="n">
        <v>100000</v>
      </c>
      <c r="T54" t="n">
        <v>70000</v>
      </c>
      <c r="U54" t="inlineStr">
        <is>
          <t>EXECUTED</t>
        </is>
      </c>
      <c r="V54" t="n">
        <v>-90.35476718403548</v>
      </c>
      <c r="W54" t="n">
        <v>-115.1219512195122</v>
      </c>
      <c r="X54" s="2">
        <f>HYPERLINK("file:///C:/Users/Hemant/OneDrive/Documents/Projects/kiteconnect_demarker/backtesting/data_st50/JAN13_DYNAMIC/JAN08/OTM/NIFTY2611326100CE_strategy.html", "View")</f>
        <v/>
      </c>
      <c r="AA54" t="inlineStr">
        <is>
          <t>BULLISH</t>
        </is>
      </c>
      <c r="AB54" t="inlineStr">
        <is>
          <t>INCLUDED (HYBRID_NEUTRAL_ZONE)</t>
        </is>
      </c>
      <c r="AC54" t="n">
        <v>-3.66</v>
      </c>
      <c r="AD54" t="inlineStr">
        <is>
          <t>Dynamic Trailing MA (Fast/Slow MA)</t>
        </is>
      </c>
      <c r="AE54" t="n">
        <v>-3.66</v>
      </c>
      <c r="AF54" t="n">
        <v>8.699999999999999</v>
      </c>
      <c r="AG54" t="n">
        <v>-13.64</v>
      </c>
      <c r="AH54" t="n">
        <v>0</v>
      </c>
    </row>
    <row r="55">
      <c r="A55" s="2">
        <f>HYPERLINK("file:///C:/Users/Hemant/OneDrive/Documents/Projects/kiteconnect_demarker/backtesting/data_st50/JAN13_DYNAMIC/JAN08/OTM/NIFTY2611326150CE_strategy.csv", "NIFTY2611326150CE")</f>
        <v/>
      </c>
      <c r="B55" t="n">
        <v>92.3</v>
      </c>
      <c r="C55" t="n">
        <v>-1</v>
      </c>
      <c r="D55" t="n">
        <v>35.35</v>
      </c>
      <c r="E55" t="n">
        <v>27.2</v>
      </c>
      <c r="F55" t="n">
        <v>-62.62</v>
      </c>
      <c r="G55" t="n">
        <v>-66.55</v>
      </c>
      <c r="H55" t="n">
        <v>89.20999999999999</v>
      </c>
      <c r="I55" t="n">
        <v>90.67</v>
      </c>
      <c r="J55" t="inlineStr">
        <is>
          <t>2026-01-08</t>
        </is>
      </c>
      <c r="K55" t="inlineStr">
        <is>
          <t>BULLISH</t>
        </is>
      </c>
      <c r="M55" t="inlineStr">
        <is>
          <t>CE</t>
        </is>
      </c>
      <c r="N55" t="inlineStr">
        <is>
          <t>09:19:01</t>
        </is>
      </c>
      <c r="O55" t="inlineStr">
        <is>
          <t>09:22:00</t>
        </is>
      </c>
      <c r="P55" t="n">
        <v>81.09999999999999</v>
      </c>
      <c r="Q55" t="n">
        <v>73.40000000000001</v>
      </c>
      <c r="R55" t="n">
        <v>90510</v>
      </c>
      <c r="S55" t="n">
        <v>100000</v>
      </c>
      <c r="T55" t="n">
        <v>70000</v>
      </c>
      <c r="U55" t="inlineStr">
        <is>
          <t>EXECUTED</t>
        </is>
      </c>
      <c r="V55" t="n">
        <v>-100</v>
      </c>
      <c r="W55" t="n">
        <v>-122.0468557336621</v>
      </c>
      <c r="X55" s="2">
        <f>HYPERLINK("file:///C:/Users/Hemant/OneDrive/Documents/Projects/kiteconnect_demarker/backtesting/data_st50/JAN13_DYNAMIC/JAN08/OTM/NIFTY2611326150CE_strategy.html", "View")</f>
        <v/>
      </c>
      <c r="AA55" t="inlineStr">
        <is>
          <t>BULLISH</t>
        </is>
      </c>
      <c r="AB55" t="inlineStr">
        <is>
          <t>INCLUDED (HYBRID_NEUTRAL_ZONE)</t>
        </is>
      </c>
      <c r="AC55" t="n">
        <v>-9.49</v>
      </c>
      <c r="AD55" t="inlineStr">
        <is>
          <t>Fixed Stop Loss</t>
        </is>
      </c>
      <c r="AE55" t="n">
        <v>-9.49</v>
      </c>
      <c r="AF55" t="n">
        <v>0</v>
      </c>
      <c r="AG55" t="n">
        <v>-17.88</v>
      </c>
      <c r="AH55" t="n">
        <v>0</v>
      </c>
    </row>
    <row r="56">
      <c r="A56" s="2">
        <f>HYPERLINK("file:///C:/Users/Hemant/OneDrive/Documents/Projects/kiteconnect_demarker/backtesting/data_st50/JAN13_DYNAMIC/JAN09/OTM/NIFTY2611325700PE_strategy.csv", "NIFTY2611325700PE")</f>
        <v/>
      </c>
      <c r="B56" t="n">
        <v>85.39</v>
      </c>
      <c r="C56" t="n">
        <v>-1</v>
      </c>
      <c r="D56" t="n">
        <v>66.73999999999999</v>
      </c>
      <c r="E56" t="n">
        <v>42.67</v>
      </c>
      <c r="F56" t="n">
        <v>-41.11</v>
      </c>
      <c r="G56" t="n">
        <v>-52.39</v>
      </c>
      <c r="H56" t="n">
        <v>76.81999999999999</v>
      </c>
      <c r="I56" t="n">
        <v>78.01000000000001</v>
      </c>
      <c r="J56" t="inlineStr">
        <is>
          <t>2026-01-09</t>
        </is>
      </c>
      <c r="K56" t="inlineStr">
        <is>
          <t>BEARISH</t>
        </is>
      </c>
      <c r="M56" t="inlineStr">
        <is>
          <t>PE</t>
        </is>
      </c>
      <c r="N56" t="inlineStr">
        <is>
          <t>13:25:01</t>
        </is>
      </c>
      <c r="O56" t="inlineStr">
        <is>
          <t>13:37:00</t>
        </is>
      </c>
      <c r="P56" t="n">
        <v>77.34999999999999</v>
      </c>
      <c r="Q56" t="n">
        <v>70</v>
      </c>
      <c r="R56" t="n">
        <v>75089.97</v>
      </c>
      <c r="S56" t="n">
        <v>111928.23</v>
      </c>
      <c r="T56" t="n">
        <v>78349.75999999999</v>
      </c>
      <c r="U56" t="inlineStr">
        <is>
          <t>EXECUTED</t>
        </is>
      </c>
      <c r="V56" t="n">
        <v>-87.13639301874595</v>
      </c>
      <c r="W56" t="n">
        <v>-112.863606981254</v>
      </c>
      <c r="X56" s="2">
        <f>HYPERLINK("file:///C:/Users/Hemant/OneDrive/Documents/Projects/kiteconnect_demarker/backtesting/data_st50/JAN13_DYNAMIC/JAN09/OTM/NIFTY2611325700PE_strategy.html", "View")</f>
        <v/>
      </c>
      <c r="AA56" t="inlineStr">
        <is>
          <t>BULLISH</t>
        </is>
      </c>
      <c r="AB56" t="inlineStr">
        <is>
          <t>INCLUDED (HYBRID_NEUTRAL_ZONE)</t>
        </is>
      </c>
      <c r="AC56" t="n">
        <v>-9.5</v>
      </c>
      <c r="AD56" t="inlineStr">
        <is>
          <t>Fixed Stop Loss</t>
        </is>
      </c>
      <c r="AE56" t="n">
        <v>-9.5</v>
      </c>
      <c r="AF56" t="n">
        <v>9.949999999999999</v>
      </c>
      <c r="AG56" t="n">
        <v>-9.949999999999999</v>
      </c>
      <c r="AH56" t="n">
        <v>0</v>
      </c>
    </row>
    <row r="57">
      <c r="A57" s="2">
        <f>HYPERLINK("file:///C:/Users/Hemant/OneDrive/Documents/Projects/kiteconnect_demarker/backtesting/data_st50/JAN13_DYNAMIC/JAN09/OTM/NIFTY2611325650PE_strategy.csv", "NIFTY2611325650PE")</f>
        <v/>
      </c>
      <c r="B57" t="n">
        <v>69.53</v>
      </c>
      <c r="C57" t="n">
        <v>-1</v>
      </c>
      <c r="D57" t="n">
        <v>50.17</v>
      </c>
      <c r="E57" t="n">
        <v>39.35</v>
      </c>
      <c r="F57" t="n">
        <v>-62.77</v>
      </c>
      <c r="G57" t="n">
        <v>-81.31999999999999</v>
      </c>
      <c r="H57" t="n">
        <v>61.24</v>
      </c>
      <c r="I57" t="n">
        <v>62.17</v>
      </c>
      <c r="J57" t="inlineStr">
        <is>
          <t>2026-01-09</t>
        </is>
      </c>
      <c r="K57" t="inlineStr">
        <is>
          <t>BEARISH</t>
        </is>
      </c>
      <c r="M57" t="inlineStr">
        <is>
          <t>PE</t>
        </is>
      </c>
      <c r="N57" t="inlineStr">
        <is>
          <t>13:18:01</t>
        </is>
      </c>
      <c r="O57" t="inlineStr">
        <is>
          <t>13:19:00</t>
        </is>
      </c>
      <c r="P57" t="n">
        <v>63.3</v>
      </c>
      <c r="Q57" t="n">
        <v>57.29</v>
      </c>
      <c r="R57" t="n">
        <v>82972.35000000001</v>
      </c>
      <c r="S57" t="n">
        <v>111928.23</v>
      </c>
      <c r="T57" t="n">
        <v>78349.75999999999</v>
      </c>
      <c r="U57" t="inlineStr">
        <is>
          <t>EXECUTED</t>
        </is>
      </c>
      <c r="V57" t="n">
        <v>-100</v>
      </c>
      <c r="W57" t="n">
        <v>-114.4707740916272</v>
      </c>
      <c r="X57" s="2">
        <f>HYPERLINK("file:///C:/Users/Hemant/OneDrive/Documents/Projects/kiteconnect_demarker/backtesting/data_st50/JAN13_DYNAMIC/JAN09/OTM/NIFTY2611325650PE_strategy.html", "View")</f>
        <v/>
      </c>
      <c r="AA57" t="inlineStr">
        <is>
          <t>BULLISH</t>
        </is>
      </c>
      <c r="AB57" t="inlineStr">
        <is>
          <t>INCLUDED (HYBRID_NEUTRAL_ZONE)</t>
        </is>
      </c>
      <c r="AC57" t="n">
        <v>-9.49</v>
      </c>
      <c r="AD57" t="inlineStr">
        <is>
          <t>Fixed Stop Loss</t>
        </is>
      </c>
      <c r="AE57" t="n">
        <v>-9.49</v>
      </c>
      <c r="AF57" t="n">
        <v>0</v>
      </c>
      <c r="AG57" t="n">
        <v>-9.16</v>
      </c>
      <c r="AH57" t="n">
        <v>0</v>
      </c>
    </row>
    <row r="58">
      <c r="A58" s="2">
        <f>HYPERLINK("file:///C:/Users/Hemant/OneDrive/Documents/Projects/kiteconnect_demarker/backtesting/data_st50/JAN13_DYNAMIC/JAN09/OTM/NIFTY2611325800CE_strategy.csv", "NIFTY2611325800CE")</f>
        <v/>
      </c>
      <c r="B58" t="n">
        <v>122.59</v>
      </c>
      <c r="C58" t="n">
        <v>-1</v>
      </c>
      <c r="D58" t="n">
        <v>86.08</v>
      </c>
      <c r="E58" t="n">
        <v>80.09999999999999</v>
      </c>
      <c r="F58" t="n">
        <v>-13.81</v>
      </c>
      <c r="G58" t="n">
        <v>-58.96</v>
      </c>
      <c r="H58" t="n">
        <v>110.41</v>
      </c>
      <c r="I58" t="n">
        <v>112.55</v>
      </c>
      <c r="J58" t="inlineStr">
        <is>
          <t>2026-01-09</t>
        </is>
      </c>
      <c r="K58" t="inlineStr">
        <is>
          <t>BEARISH</t>
        </is>
      </c>
      <c r="M58" t="inlineStr">
        <is>
          <t>CE</t>
        </is>
      </c>
      <c r="N58" t="inlineStr">
        <is>
          <t>11:26:01</t>
        </is>
      </c>
      <c r="O58" t="inlineStr">
        <is>
          <t>11:35:00</t>
        </is>
      </c>
      <c r="P58" t="n">
        <v>112.2</v>
      </c>
      <c r="Q58" t="n">
        <v>101.54</v>
      </c>
      <c r="R58" t="n">
        <v>91672.02</v>
      </c>
      <c r="S58" t="n">
        <v>111928.23</v>
      </c>
      <c r="T58" t="n">
        <v>78349.75999999999</v>
      </c>
      <c r="U58" t="inlineStr">
        <is>
          <t>EXECUTED</t>
        </is>
      </c>
      <c r="V58" t="n">
        <v>-95.79322638146166</v>
      </c>
      <c r="W58" t="n">
        <v>-106.5151515151515</v>
      </c>
      <c r="X58" s="2">
        <f>HYPERLINK("file:///C:/Users/Hemant/OneDrive/Documents/Projects/kiteconnect_demarker/backtesting/data_st50/JAN13_DYNAMIC/JAN09/OTM/NIFTY2611325800CE_strategy.html", "View")</f>
        <v/>
      </c>
      <c r="AA58" t="inlineStr">
        <is>
          <t>NEUTRAL</t>
        </is>
      </c>
      <c r="AB58" t="inlineStr">
        <is>
          <t>INCLUDED</t>
        </is>
      </c>
      <c r="AC58" t="n">
        <v>-9.5</v>
      </c>
      <c r="AD58" t="inlineStr">
        <is>
          <t>Fixed Stop Loss</t>
        </is>
      </c>
      <c r="AE58" t="n">
        <v>-9.5</v>
      </c>
      <c r="AF58" t="n">
        <v>4.72</v>
      </c>
      <c r="AG58" t="n">
        <v>-7.31</v>
      </c>
      <c r="AH58" t="n">
        <v>0</v>
      </c>
    </row>
    <row r="59">
      <c r="A59" s="2">
        <f>HYPERLINK("file:///C:/Users/Hemant/OneDrive/Documents/Projects/kiteconnect_demarker/backtesting/data_st50/JAN13_DYNAMIC/JAN09/OTM/NIFTY2611325850CE_strategy.csv", "NIFTY2611325850CE")</f>
        <v/>
      </c>
      <c r="B59" t="n">
        <v>137.8</v>
      </c>
      <c r="C59" t="n">
        <v>-1</v>
      </c>
      <c r="D59" t="n">
        <v>29.37</v>
      </c>
      <c r="E59" t="n">
        <v>26.57</v>
      </c>
      <c r="F59" t="n">
        <v>-79.31999999999999</v>
      </c>
      <c r="G59" t="n">
        <v>-83.56</v>
      </c>
      <c r="H59" t="n">
        <v>115.15</v>
      </c>
      <c r="I59" t="n">
        <v>118.57</v>
      </c>
      <c r="J59" t="inlineStr">
        <is>
          <t>2026-01-09</t>
        </is>
      </c>
      <c r="K59" t="inlineStr">
        <is>
          <t>BEARISH</t>
        </is>
      </c>
      <c r="M59" t="inlineStr">
        <is>
          <t>CE</t>
        </is>
      </c>
      <c r="N59" t="inlineStr">
        <is>
          <t>10:40:01</t>
        </is>
      </c>
      <c r="O59" t="inlineStr">
        <is>
          <t>10:52:00</t>
        </is>
      </c>
      <c r="P59" t="n">
        <v>115.95</v>
      </c>
      <c r="Q59" t="n">
        <v>104.93</v>
      </c>
      <c r="R59" t="n">
        <v>101295.05</v>
      </c>
      <c r="S59" t="n">
        <v>111928.23</v>
      </c>
      <c r="T59" t="n">
        <v>78349.75999999999</v>
      </c>
      <c r="U59" t="inlineStr">
        <is>
          <t>EXECUTED</t>
        </is>
      </c>
      <c r="V59" t="n">
        <v>-96.35187580853815</v>
      </c>
      <c r="W59" t="n">
        <v>-107.2531263475636</v>
      </c>
      <c r="X59" s="2">
        <f>HYPERLINK("file:///C:/Users/Hemant/OneDrive/Documents/Projects/kiteconnect_demarker/backtesting/data_st50/JAN13_DYNAMIC/JAN09/OTM/NIFTY2611325850CE_strategy.html", "View")</f>
        <v/>
      </c>
      <c r="AA59" t="inlineStr">
        <is>
          <t>NEUTRAL</t>
        </is>
      </c>
      <c r="AB59" t="inlineStr">
        <is>
          <t>INCLUDED</t>
        </is>
      </c>
      <c r="AC59" t="n">
        <v>-9.5</v>
      </c>
      <c r="AD59" t="inlineStr">
        <is>
          <t>Fixed Stop Loss</t>
        </is>
      </c>
      <c r="AE59" t="n">
        <v>-9.5</v>
      </c>
      <c r="AF59" t="n">
        <v>4.23</v>
      </c>
      <c r="AG59" t="n">
        <v>-8.41</v>
      </c>
      <c r="AH59" t="n">
        <v>0</v>
      </c>
    </row>
    <row r="60">
      <c r="A60" s="2">
        <f>HYPERLINK("file:///C:/Users/Hemant/OneDrive/Documents/Projects/kiteconnect_demarker/backtesting/data_st50/JAN13_DYNAMIC/JAN09/OTM/NIFTY2611325850PE_strategy.csv", "NIFTY2611325850PE")</f>
        <v/>
      </c>
      <c r="B60" t="n">
        <v>77.44</v>
      </c>
      <c r="C60" t="n">
        <v>-1</v>
      </c>
      <c r="D60" t="n">
        <v>61.51</v>
      </c>
      <c r="E60" t="n">
        <v>50.71</v>
      </c>
      <c r="F60" t="n">
        <v>-57.2</v>
      </c>
      <c r="G60" t="n">
        <v>-82.48999999999999</v>
      </c>
      <c r="H60" t="n">
        <v>61.59</v>
      </c>
      <c r="I60" t="n">
        <v>63.88</v>
      </c>
      <c r="J60" t="inlineStr">
        <is>
          <t>2026-01-09</t>
        </is>
      </c>
      <c r="K60" t="inlineStr">
        <is>
          <t>BULLISH</t>
        </is>
      </c>
      <c r="M60" t="inlineStr">
        <is>
          <t>PE</t>
        </is>
      </c>
      <c r="N60" t="inlineStr">
        <is>
          <t>10:04:01</t>
        </is>
      </c>
      <c r="O60" t="inlineStr">
        <is>
          <t>10:05:00</t>
        </is>
      </c>
      <c r="P60" t="n">
        <v>67.59999999999999</v>
      </c>
      <c r="Q60" t="n">
        <v>61.18</v>
      </c>
      <c r="R60" t="n">
        <v>81902.5</v>
      </c>
      <c r="S60" t="n">
        <v>100000</v>
      </c>
      <c r="T60" t="n">
        <v>70000</v>
      </c>
      <c r="U60" t="inlineStr">
        <is>
          <t>EXECUTED</t>
        </is>
      </c>
      <c r="V60" t="n">
        <v>-98.1360946745562</v>
      </c>
      <c r="W60" t="n">
        <v>-123.9644970414201</v>
      </c>
      <c r="X60" s="2">
        <f>HYPERLINK("file:///C:/Users/Hemant/OneDrive/Documents/Projects/kiteconnect_demarker/backtesting/data_st50/JAN13_DYNAMIC/JAN09/OTM/NIFTY2611325850PE_strategy.html", "View")</f>
        <v/>
      </c>
      <c r="AA60" t="inlineStr">
        <is>
          <t>NEUTRAL</t>
        </is>
      </c>
      <c r="AB60" t="inlineStr">
        <is>
          <t>INCLUDED</t>
        </is>
      </c>
      <c r="AC60" t="n">
        <v>-9.5</v>
      </c>
      <c r="AD60" t="inlineStr">
        <is>
          <t>Fixed Stop Loss</t>
        </is>
      </c>
      <c r="AE60" t="n">
        <v>-9.5</v>
      </c>
      <c r="AF60" t="n">
        <v>1.26</v>
      </c>
      <c r="AG60" t="n">
        <v>-16.2</v>
      </c>
      <c r="AH60" t="n">
        <v>0</v>
      </c>
    </row>
    <row r="61">
      <c r="A61" s="2">
        <f>HYPERLINK("file:///C:/Users/Hemant/OneDrive/Documents/Projects/kiteconnect_demarker/backtesting/data_st50/JAN13_DYNAMIC/JAN09/OTM/NIFTY2611325850CE_strategy.csv", "NIFTY2611325850CE")</f>
        <v/>
      </c>
      <c r="B61" t="n">
        <v>138.78</v>
      </c>
      <c r="C61" t="n">
        <v>-1</v>
      </c>
      <c r="D61" t="n">
        <v>14.07</v>
      </c>
      <c r="E61" t="n">
        <v>18.5</v>
      </c>
      <c r="F61" t="n">
        <v>-94.47</v>
      </c>
      <c r="G61" t="n">
        <v>-96.90000000000001</v>
      </c>
      <c r="H61" t="n">
        <v>118.13</v>
      </c>
      <c r="I61" t="n">
        <v>121.51</v>
      </c>
      <c r="J61" t="inlineStr">
        <is>
          <t>2026-01-09</t>
        </is>
      </c>
      <c r="K61" t="inlineStr">
        <is>
          <t>BEARISH</t>
        </is>
      </c>
      <c r="M61" t="inlineStr">
        <is>
          <t>CE</t>
        </is>
      </c>
      <c r="N61" t="inlineStr">
        <is>
          <t>09:33:01</t>
        </is>
      </c>
      <c r="O61" t="inlineStr">
        <is>
          <t>09:34:00</t>
        </is>
      </c>
      <c r="P61" t="n">
        <v>115.65</v>
      </c>
      <c r="Q61" t="n">
        <v>104.66</v>
      </c>
      <c r="R61" t="n">
        <v>90500</v>
      </c>
      <c r="S61" t="n">
        <v>100000</v>
      </c>
      <c r="T61" t="n">
        <v>70000</v>
      </c>
      <c r="U61" t="inlineStr">
        <is>
          <t>EXECUTED</t>
        </is>
      </c>
      <c r="V61" t="n">
        <v>-100</v>
      </c>
      <c r="W61" t="n">
        <v>-111.4051015996541</v>
      </c>
      <c r="X61" s="2">
        <f>HYPERLINK("file:///C:/Users/Hemant/OneDrive/Documents/Projects/kiteconnect_demarker/backtesting/data_st50/JAN13_DYNAMIC/JAN09/OTM/NIFTY2611325850CE_strategy.html", "View")</f>
        <v/>
      </c>
      <c r="AA61" t="inlineStr">
        <is>
          <t>NEUTRAL</t>
        </is>
      </c>
      <c r="AB61" t="inlineStr">
        <is>
          <t>INCLUDED</t>
        </is>
      </c>
      <c r="AC61" t="n">
        <v>-9.5</v>
      </c>
      <c r="AD61" t="inlineStr">
        <is>
          <t>Fixed Stop Loss</t>
        </is>
      </c>
      <c r="AE61" t="n">
        <v>-9.5</v>
      </c>
      <c r="AF61" t="n">
        <v>0</v>
      </c>
      <c r="AG61" t="n">
        <v>-13.19</v>
      </c>
      <c r="AH61" t="n">
        <v>0</v>
      </c>
    </row>
    <row r="62">
      <c r="A62" s="2">
        <f>HYPERLINK("file:///C:/Users/Hemant/OneDrive/Documents/Projects/kiteconnect_demarker/backtesting/data_st50/JAN13_DYNAMIC/JAN12/OTM/NIFTY2611325550PE_strategy.csv", "NIFTY2611325550PE")</f>
        <v/>
      </c>
      <c r="B62" t="n">
        <v>72.43000000000001</v>
      </c>
      <c r="C62" t="n">
        <v>-1</v>
      </c>
      <c r="D62" t="n">
        <v>35.93</v>
      </c>
      <c r="E62" t="n">
        <v>20.05</v>
      </c>
      <c r="F62" t="n">
        <v>-52.06</v>
      </c>
      <c r="G62" t="n">
        <v>-57.97</v>
      </c>
      <c r="H62" t="n">
        <v>61.82</v>
      </c>
      <c r="I62" t="n">
        <v>61.66</v>
      </c>
      <c r="J62" t="inlineStr">
        <is>
          <t>2026-01-12</t>
        </is>
      </c>
      <c r="K62" t="inlineStr">
        <is>
          <t>BULLISH</t>
        </is>
      </c>
      <c r="M62" t="inlineStr">
        <is>
          <t>PE</t>
        </is>
      </c>
      <c r="N62" t="inlineStr">
        <is>
          <t>10:07:01</t>
        </is>
      </c>
      <c r="O62" t="inlineStr">
        <is>
          <t>10:27:00</t>
        </is>
      </c>
      <c r="P62" t="n">
        <v>62.05</v>
      </c>
      <c r="Q62" t="n">
        <v>56.16</v>
      </c>
      <c r="R62" t="n">
        <v>67080.19</v>
      </c>
      <c r="S62" t="n">
        <v>100000</v>
      </c>
      <c r="T62" t="n">
        <v>70000</v>
      </c>
      <c r="U62" t="inlineStr">
        <is>
          <t>EXECUTED</t>
        </is>
      </c>
      <c r="V62" t="n">
        <v>-74.42385173247381</v>
      </c>
      <c r="W62" t="n">
        <v>-118.6946011281225</v>
      </c>
      <c r="X62" s="2">
        <f>HYPERLINK("file:///C:/Users/Hemant/OneDrive/Documents/Projects/kiteconnect_demarker/backtesting/data_st50/JAN13_DYNAMIC/JAN12/OTM/NIFTY2611325550PE_strategy.html", "View")</f>
        <v/>
      </c>
      <c r="AA62" t="inlineStr">
        <is>
          <t>NEUTRAL</t>
        </is>
      </c>
      <c r="AB62" t="inlineStr">
        <is>
          <t>INCLUDED</t>
        </is>
      </c>
      <c r="AC62" t="n">
        <v>-9.49</v>
      </c>
      <c r="AD62" t="inlineStr">
        <is>
          <t>Fixed Stop Loss</t>
        </is>
      </c>
      <c r="AE62" t="n">
        <v>-9.49</v>
      </c>
      <c r="AF62" t="n">
        <v>15.87</v>
      </c>
      <c r="AG62" t="n">
        <v>-11.6</v>
      </c>
      <c r="AH62" t="n">
        <v>0</v>
      </c>
    </row>
    <row r="63">
      <c r="A63" s="2">
        <f>HYPERLINK("file:///C:/Users/Hemant/OneDrive/Documents/Projects/kiteconnect_demarker/backtesting/data_st50/JAN13_DYNAMIC/JAN12/OTM/NIFTY2611325600CE_strategy.csv", "NIFTY2611325600CE")</f>
        <v/>
      </c>
      <c r="B63" t="n">
        <v>91.72</v>
      </c>
      <c r="C63" t="n">
        <v>-1</v>
      </c>
      <c r="D63" t="n">
        <v>40.95</v>
      </c>
      <c r="E63" t="n">
        <v>36.08</v>
      </c>
      <c r="F63" t="n">
        <v>-70.70999999999999</v>
      </c>
      <c r="G63" t="n">
        <v>-66.03</v>
      </c>
      <c r="H63" t="n">
        <v>77.20999999999999</v>
      </c>
      <c r="I63" t="n">
        <v>77.77</v>
      </c>
      <c r="J63" t="inlineStr">
        <is>
          <t>2026-01-12</t>
        </is>
      </c>
      <c r="K63" t="inlineStr">
        <is>
          <t>BULLISH</t>
        </is>
      </c>
      <c r="M63" t="inlineStr">
        <is>
          <t>CE</t>
        </is>
      </c>
      <c r="N63" t="inlineStr">
        <is>
          <t>10:02:01</t>
        </is>
      </c>
      <c r="O63" t="inlineStr">
        <is>
          <t>10:15:00</t>
        </is>
      </c>
      <c r="P63" t="n">
        <v>75.55</v>
      </c>
      <c r="Q63" t="n">
        <v>68.37</v>
      </c>
      <c r="R63" t="n">
        <v>74113.57000000001</v>
      </c>
      <c r="S63" t="n">
        <v>100000</v>
      </c>
      <c r="T63" t="n">
        <v>70000</v>
      </c>
      <c r="U63" t="inlineStr">
        <is>
          <t>EXECUTED</t>
        </is>
      </c>
      <c r="V63" t="n">
        <v>-76.78358702845797</v>
      </c>
      <c r="W63" t="n">
        <v>-110.0727994705493</v>
      </c>
      <c r="X63" s="2">
        <f>HYPERLINK("file:///C:/Users/Hemant/OneDrive/Documents/Projects/kiteconnect_demarker/backtesting/data_st50/JAN13_DYNAMIC/JAN12/OTM/NIFTY2611325600CE_strategy.html", "View")</f>
        <v/>
      </c>
      <c r="AA63" t="inlineStr">
        <is>
          <t>NEUTRAL</t>
        </is>
      </c>
      <c r="AB63" t="inlineStr">
        <is>
          <t>INCLUDED</t>
        </is>
      </c>
      <c r="AC63" t="n">
        <v>-9.5</v>
      </c>
      <c r="AD63" t="inlineStr">
        <is>
          <t>Fixed Stop Loss</t>
        </is>
      </c>
      <c r="AE63" t="n">
        <v>-9.5</v>
      </c>
      <c r="AF63" t="n">
        <v>17.54</v>
      </c>
      <c r="AG63" t="n">
        <v>-7.61</v>
      </c>
      <c r="AH63" t="n">
        <v>0</v>
      </c>
    </row>
    <row r="64">
      <c r="A64" s="2">
        <f>HYPERLINK("file:///C:/Users/Hemant/OneDrive/Documents/Projects/kiteconnect_demarker/backtesting/data_st50/JAN13_DYNAMIC/JAN12/OTM/NIFTY2611325550PE_strategy.csv", "NIFTY2611325550PE")</f>
        <v/>
      </c>
      <c r="B64" t="n">
        <v>76.45999999999999</v>
      </c>
      <c r="C64" t="n">
        <v>-1</v>
      </c>
      <c r="D64" t="n">
        <v>27.16</v>
      </c>
      <c r="E64" t="n">
        <v>24.49</v>
      </c>
      <c r="F64" t="n">
        <v>-69.27</v>
      </c>
      <c r="G64" t="n">
        <v>-78.34999999999999</v>
      </c>
      <c r="H64" t="n">
        <v>62.72</v>
      </c>
      <c r="I64" t="n">
        <v>62.91</v>
      </c>
      <c r="J64" t="inlineStr">
        <is>
          <t>2026-01-12</t>
        </is>
      </c>
      <c r="K64" t="inlineStr">
        <is>
          <t>BULLISH</t>
        </is>
      </c>
      <c r="M64" t="inlineStr">
        <is>
          <t>PE</t>
        </is>
      </c>
      <c r="N64" t="inlineStr">
        <is>
          <t>09:53:01</t>
        </is>
      </c>
      <c r="O64" t="inlineStr">
        <is>
          <t>09:54:00</t>
        </is>
      </c>
      <c r="P64" t="n">
        <v>63.75</v>
      </c>
      <c r="Q64" t="n">
        <v>57.69</v>
      </c>
      <c r="R64" t="n">
        <v>90490</v>
      </c>
      <c r="S64" t="n">
        <v>100000</v>
      </c>
      <c r="T64" t="n">
        <v>70000</v>
      </c>
      <c r="U64" t="inlineStr">
        <is>
          <t>EXECUTED</t>
        </is>
      </c>
      <c r="V64" t="n">
        <v>-100</v>
      </c>
      <c r="W64" t="n">
        <v>-127.5607843137255</v>
      </c>
      <c r="X64" s="2">
        <f>HYPERLINK("file:///C:/Users/Hemant/OneDrive/Documents/Projects/kiteconnect_demarker/backtesting/data_st50/JAN13_DYNAMIC/JAN12/OTM/NIFTY2611325550PE_strategy.html", "View")</f>
        <v/>
      </c>
      <c r="AA64" t="inlineStr">
        <is>
          <t>NEUTRAL</t>
        </is>
      </c>
      <c r="AB64" t="inlineStr">
        <is>
          <t>INCLUDED</t>
        </is>
      </c>
      <c r="AC64" t="n">
        <v>-9.51</v>
      </c>
      <c r="AD64" t="inlineStr">
        <is>
          <t>Fixed Stop Loss</t>
        </is>
      </c>
      <c r="AE64" t="n">
        <v>-9.51</v>
      </c>
      <c r="AF64" t="n">
        <v>0</v>
      </c>
      <c r="AG64" t="n">
        <v>-17.57</v>
      </c>
      <c r="AH64" t="n">
        <v>0</v>
      </c>
    </row>
    <row r="65">
      <c r="A65" s="2">
        <f>HYPERLINK("file:///C:/Users/Hemant/OneDrive/Documents/Projects/kiteconnect_demarker/backtesting/data_st50/JAN13_DYNAMIC/JAN12/OTM/NIFTY2611325600CE_strategy.csv", "NIFTY2611325600CE")</f>
        <v/>
      </c>
      <c r="B65" t="n">
        <v>91.72</v>
      </c>
      <c r="C65" t="n">
        <v>-1</v>
      </c>
      <c r="D65" t="n">
        <v>82.42</v>
      </c>
      <c r="E65" t="n">
        <v>67.95</v>
      </c>
      <c r="F65" t="n">
        <v>-0.21</v>
      </c>
      <c r="G65" t="n">
        <v>-8.199999999999999</v>
      </c>
      <c r="H65" t="n">
        <v>75.78</v>
      </c>
      <c r="I65" t="n">
        <v>79.48999999999999</v>
      </c>
      <c r="J65" t="inlineStr">
        <is>
          <t>2026-01-12</t>
        </is>
      </c>
      <c r="K65" t="inlineStr">
        <is>
          <t>BULLISH</t>
        </is>
      </c>
      <c r="M65" t="inlineStr">
        <is>
          <t>CE</t>
        </is>
      </c>
      <c r="N65" t="inlineStr">
        <is>
          <t>09:49:01</t>
        </is>
      </c>
      <c r="O65" t="inlineStr">
        <is>
          <t>09:58:00</t>
        </is>
      </c>
      <c r="P65" t="n">
        <v>81.3</v>
      </c>
      <c r="Q65" t="n">
        <v>73.58</v>
      </c>
      <c r="R65" t="n">
        <v>81893.45</v>
      </c>
      <c r="S65" t="n">
        <v>100000</v>
      </c>
      <c r="T65" t="n">
        <v>70000</v>
      </c>
      <c r="U65" t="inlineStr">
        <is>
          <t>EXECUTED</t>
        </is>
      </c>
      <c r="V65" t="n">
        <v>-78.74538745387454</v>
      </c>
      <c r="W65" t="n">
        <v>-122.619926199262</v>
      </c>
      <c r="X65" s="2">
        <f>HYPERLINK("file:///C:/Users/Hemant/OneDrive/Documents/Projects/kiteconnect_demarker/backtesting/data_st50/JAN13_DYNAMIC/JAN12/OTM/NIFTY2611325600CE_strategy.html", "View")</f>
        <v/>
      </c>
      <c r="AA65" t="inlineStr">
        <is>
          <t>NEUTRAL</t>
        </is>
      </c>
      <c r="AB65" t="inlineStr">
        <is>
          <t>INCLUDED</t>
        </is>
      </c>
      <c r="AC65" t="n">
        <v>-9.5</v>
      </c>
      <c r="AD65" t="inlineStr">
        <is>
          <t>Fixed Stop Loss</t>
        </is>
      </c>
      <c r="AE65" t="n">
        <v>-9.5</v>
      </c>
      <c r="AF65" t="n">
        <v>17.28</v>
      </c>
      <c r="AG65" t="n">
        <v>-18.39</v>
      </c>
      <c r="AH65" t="n">
        <v>0</v>
      </c>
    </row>
    <row r="66">
      <c r="A66" s="2">
        <f>HYPERLINK("file:///C:/Users/Hemant/OneDrive/Documents/Projects/kiteconnect_demarker/backtesting/data_st50/JAN20_DYNAMIC/JAN14/OTM/NIFTY2612025750CE_strategy.csv", "NIFTY2612025750CE")</f>
        <v/>
      </c>
      <c r="B66" t="n">
        <v>123.39</v>
      </c>
      <c r="C66" t="n">
        <v>-1</v>
      </c>
      <c r="D66" t="n">
        <v>16.45</v>
      </c>
      <c r="E66" t="n">
        <v>18.83</v>
      </c>
      <c r="F66" t="n">
        <v>-69.44</v>
      </c>
      <c r="G66" t="n">
        <v>-84.06</v>
      </c>
      <c r="H66" t="n">
        <v>110.89</v>
      </c>
      <c r="I66" t="n">
        <v>115.51</v>
      </c>
      <c r="J66" t="inlineStr">
        <is>
          <t>2026-01-14</t>
        </is>
      </c>
      <c r="K66" t="inlineStr">
        <is>
          <t>BEARISH</t>
        </is>
      </c>
      <c r="M66" t="inlineStr">
        <is>
          <t>CE</t>
        </is>
      </c>
      <c r="N66" t="inlineStr">
        <is>
          <t>13:29:01</t>
        </is>
      </c>
      <c r="O66" t="inlineStr">
        <is>
          <t>13:36:00</t>
        </is>
      </c>
      <c r="P66" t="n">
        <v>110.2</v>
      </c>
      <c r="Q66" t="n">
        <v>99.73</v>
      </c>
      <c r="R66" t="n">
        <v>65783.82000000001</v>
      </c>
      <c r="S66" t="n">
        <v>100000</v>
      </c>
      <c r="T66" t="n">
        <v>70000</v>
      </c>
      <c r="U66" t="inlineStr">
        <is>
          <t>EXECUTED</t>
        </is>
      </c>
      <c r="V66" t="n">
        <v>-98.92921960072594</v>
      </c>
      <c r="W66" t="n">
        <v>-104.8548094373866</v>
      </c>
      <c r="X66" s="2">
        <f>HYPERLINK("file:///C:/Users/Hemant/OneDrive/Documents/Projects/kiteconnect_demarker/backtesting/data_st50/JAN20_DYNAMIC/JAN14/OTM/NIFTY2612025750CE_strategy.html", "View")</f>
        <v/>
      </c>
      <c r="AA66" t="inlineStr">
        <is>
          <t>BEARISH</t>
        </is>
      </c>
      <c r="AB66" t="inlineStr">
        <is>
          <t>INCLUDED (HYBRID_NEUTRAL_ZONE)</t>
        </is>
      </c>
      <c r="AC66" t="n">
        <v>-9.5</v>
      </c>
      <c r="AD66" t="inlineStr">
        <is>
          <t>Fixed Stop Loss</t>
        </is>
      </c>
      <c r="AE66" t="n">
        <v>-9.5</v>
      </c>
      <c r="AF66" t="n">
        <v>1.18</v>
      </c>
      <c r="AG66" t="n">
        <v>-5.35</v>
      </c>
      <c r="AH66" t="n">
        <v>0</v>
      </c>
    </row>
    <row r="67">
      <c r="A67" s="2">
        <f>HYPERLINK("file:///C:/Users/Hemant/OneDrive/Documents/Projects/kiteconnect_demarker/backtesting/data_st50/JAN20_DYNAMIC/JAN14/OTM/NIFTY2612025750PE_strategy.csv", "NIFTY2612025750PE")</f>
        <v/>
      </c>
      <c r="B67" t="n">
        <v>121.54</v>
      </c>
      <c r="C67" t="n">
        <v>-1</v>
      </c>
      <c r="D67" t="n">
        <v>48.35</v>
      </c>
      <c r="E67" t="n">
        <v>41.12</v>
      </c>
      <c r="F67" t="n">
        <v>-30.95</v>
      </c>
      <c r="G67" t="n">
        <v>-73.39</v>
      </c>
      <c r="H67" t="n">
        <v>109.06</v>
      </c>
      <c r="I67" t="n">
        <v>113.22</v>
      </c>
      <c r="J67" t="inlineStr">
        <is>
          <t>2026-01-14</t>
        </is>
      </c>
      <c r="K67" t="inlineStr">
        <is>
          <t>BULLISH</t>
        </is>
      </c>
      <c r="M67" t="inlineStr">
        <is>
          <t>PE</t>
        </is>
      </c>
      <c r="N67" t="inlineStr">
        <is>
          <t>11:36:01</t>
        </is>
      </c>
      <c r="O67" t="inlineStr">
        <is>
          <t>11:49:00</t>
        </is>
      </c>
      <c r="P67" t="n">
        <v>111.95</v>
      </c>
      <c r="Q67" t="n">
        <v>101.31</v>
      </c>
      <c r="R67" t="n">
        <v>72493.57000000001</v>
      </c>
      <c r="S67" t="n">
        <v>100000</v>
      </c>
      <c r="T67" t="n">
        <v>70000</v>
      </c>
      <c r="U67" t="inlineStr">
        <is>
          <t>EXECUTED</t>
        </is>
      </c>
      <c r="V67" t="n">
        <v>-98.40107190710138</v>
      </c>
      <c r="W67" t="n">
        <v>-104.8235819562305</v>
      </c>
      <c r="X67" s="2">
        <f>HYPERLINK("file:///C:/Users/Hemant/OneDrive/Documents/Projects/kiteconnect_demarker/backtesting/data_st50/JAN20_DYNAMIC/JAN14/OTM/NIFTY2612025750PE_strategy.html", "View")</f>
        <v/>
      </c>
      <c r="AA67" t="inlineStr">
        <is>
          <t>BULLISH</t>
        </is>
      </c>
      <c r="AB67" t="inlineStr">
        <is>
          <t>INCLUDED (HYBRID_NEUTRAL_ZONE)</t>
        </is>
      </c>
      <c r="AC67" t="n">
        <v>-9.5</v>
      </c>
      <c r="AD67" t="inlineStr">
        <is>
          <t>Fixed Stop Loss</t>
        </is>
      </c>
      <c r="AE67" t="n">
        <v>-9.5</v>
      </c>
      <c r="AF67" t="n">
        <v>1.79</v>
      </c>
      <c r="AG67" t="n">
        <v>-5.4</v>
      </c>
      <c r="AH67" t="n">
        <v>0</v>
      </c>
    </row>
    <row r="68">
      <c r="A68" s="2">
        <f>HYPERLINK("file:///C:/Users/Hemant/OneDrive/Documents/Projects/kiteconnect_demarker/backtesting/data_st50/JAN20_DYNAMIC/JAN14/OTM/NIFTY2612025700PE_strategy.csv", "NIFTY2612025700PE")</f>
        <v/>
      </c>
      <c r="B68" t="n">
        <v>124.63</v>
      </c>
      <c r="C68" t="n">
        <v>-1</v>
      </c>
      <c r="D68" t="n">
        <v>46.02</v>
      </c>
      <c r="E68" t="n">
        <v>32.89</v>
      </c>
      <c r="F68" t="n">
        <v>-85.51000000000001</v>
      </c>
      <c r="G68" t="n">
        <v>-92.45999999999999</v>
      </c>
      <c r="H68" t="n">
        <v>111.28</v>
      </c>
      <c r="I68" t="n">
        <v>113.67</v>
      </c>
      <c r="J68" t="inlineStr">
        <is>
          <t>2026-01-14</t>
        </is>
      </c>
      <c r="K68" t="inlineStr">
        <is>
          <t>BEARISH</t>
        </is>
      </c>
      <c r="M68" t="inlineStr">
        <is>
          <t>PE</t>
        </is>
      </c>
      <c r="N68" t="inlineStr">
        <is>
          <t>11:02:01</t>
        </is>
      </c>
      <c r="O68" t="inlineStr">
        <is>
          <t>11:17:00</t>
        </is>
      </c>
      <c r="P68" t="n">
        <v>108</v>
      </c>
      <c r="Q68" t="n">
        <v>97.73999999999999</v>
      </c>
      <c r="R68" t="n">
        <v>80103.39</v>
      </c>
      <c r="S68" t="n">
        <v>100000</v>
      </c>
      <c r="T68" t="n">
        <v>70000</v>
      </c>
      <c r="U68" t="inlineStr">
        <is>
          <t>EXECUTED</t>
        </is>
      </c>
      <c r="V68" t="n">
        <v>-96.61111111111111</v>
      </c>
      <c r="W68" t="n">
        <v>-105.0185185185185</v>
      </c>
      <c r="X68" s="2">
        <f>HYPERLINK("file:///C:/Users/Hemant/OneDrive/Documents/Projects/kiteconnect_demarker/backtesting/data_st50/JAN20_DYNAMIC/JAN14/OTM/NIFTY2612025700PE_strategy.html", "View")</f>
        <v/>
      </c>
      <c r="AA68" t="inlineStr">
        <is>
          <t>BEARISH</t>
        </is>
      </c>
      <c r="AB68" t="inlineStr">
        <is>
          <t>INCLUDED (HYBRID_NEUTRAL_ZONE)</t>
        </is>
      </c>
      <c r="AC68" t="n">
        <v>-9.5</v>
      </c>
      <c r="AD68" t="inlineStr">
        <is>
          <t>Fixed Stop Loss</t>
        </is>
      </c>
      <c r="AE68" t="n">
        <v>-9.5</v>
      </c>
      <c r="AF68" t="n">
        <v>3.66</v>
      </c>
      <c r="AG68" t="n">
        <v>-5.42</v>
      </c>
      <c r="AH68" t="n">
        <v>0</v>
      </c>
    </row>
    <row r="69">
      <c r="A69" s="2">
        <f>HYPERLINK("file:///C:/Users/Hemant/OneDrive/Documents/Projects/kiteconnect_demarker/backtesting/data_st50/JAN20_DYNAMIC/JAN14/OTM/NIFTY2612025650PE_strategy.csv", "NIFTY2612025650PE")</f>
        <v/>
      </c>
      <c r="B69" t="n">
        <v>88.48999999999999</v>
      </c>
      <c r="C69" t="n">
        <v>1</v>
      </c>
      <c r="D69" t="n">
        <v>58.78</v>
      </c>
      <c r="E69" t="n">
        <v>35.5</v>
      </c>
      <c r="F69" t="n">
        <v>-6.8</v>
      </c>
      <c r="G69" t="n">
        <v>-28.81</v>
      </c>
      <c r="H69" t="n">
        <v>102.93</v>
      </c>
      <c r="I69" t="n">
        <v>104.22</v>
      </c>
      <c r="J69" t="inlineStr">
        <is>
          <t>2026-01-14</t>
        </is>
      </c>
      <c r="K69" t="inlineStr">
        <is>
          <t>BEARISH</t>
        </is>
      </c>
      <c r="M69" t="inlineStr">
        <is>
          <t>PE</t>
        </is>
      </c>
      <c r="N69" t="inlineStr">
        <is>
          <t>10:45:01</t>
        </is>
      </c>
      <c r="O69" t="inlineStr">
        <is>
          <t>10:53:00</t>
        </is>
      </c>
      <c r="P69" t="n">
        <v>105.25</v>
      </c>
      <c r="Q69" t="n">
        <v>95.25</v>
      </c>
      <c r="R69" t="n">
        <v>88512.03</v>
      </c>
      <c r="S69" t="n">
        <v>100000</v>
      </c>
      <c r="T69" t="n">
        <v>70000</v>
      </c>
      <c r="U69" t="inlineStr">
        <is>
          <t>EXECUTED</t>
        </is>
      </c>
      <c r="V69" t="n">
        <v>-93.99524940617577</v>
      </c>
      <c r="W69" t="n">
        <v>-114.9358669833729</v>
      </c>
      <c r="X69" s="2">
        <f>HYPERLINK("file:///C:/Users/Hemant/OneDrive/Documents/Projects/kiteconnect_demarker/backtesting/data_st50/JAN20_DYNAMIC/JAN14/OTM/NIFTY2612025650PE_strategy.html", "View")</f>
        <v/>
      </c>
      <c r="AA69" t="inlineStr">
        <is>
          <t>NEUTRAL</t>
        </is>
      </c>
      <c r="AB69" t="inlineStr">
        <is>
          <t>INCLUDED</t>
        </is>
      </c>
      <c r="AC69" t="n">
        <v>-9.5</v>
      </c>
      <c r="AD69" t="inlineStr">
        <is>
          <t>Fixed SL Exit</t>
        </is>
      </c>
      <c r="AE69" t="n">
        <v>-9.5</v>
      </c>
      <c r="AF69" t="n">
        <v>6.32</v>
      </c>
      <c r="AG69" t="n">
        <v>-15.72</v>
      </c>
      <c r="AH69" t="n">
        <v>0</v>
      </c>
    </row>
    <row r="70">
      <c r="A70" s="2">
        <f>HYPERLINK("file:///C:/Users/Hemant/OneDrive/Documents/Projects/kiteconnect_demarker/backtesting/data_st50/JAN20_DYNAMIC/JAN14/OTM/NIFTY2612025700PE_strategy.csv", "NIFTY2612025700PE")</f>
        <v/>
      </c>
      <c r="B70" t="n">
        <v>140.58</v>
      </c>
      <c r="C70" t="n">
        <v>-1</v>
      </c>
      <c r="D70" t="n">
        <v>23.97</v>
      </c>
      <c r="E70" t="n">
        <v>22.62</v>
      </c>
      <c r="F70" t="n">
        <v>-67.95999999999999</v>
      </c>
      <c r="G70" t="n">
        <v>-79.25</v>
      </c>
      <c r="H70" t="n">
        <v>121.58</v>
      </c>
      <c r="I70" t="n">
        <v>119.56</v>
      </c>
      <c r="J70" t="inlineStr">
        <is>
          <t>2026-01-14</t>
        </is>
      </c>
      <c r="K70" t="inlineStr">
        <is>
          <t>BEARISH</t>
        </is>
      </c>
      <c r="M70" t="inlineStr">
        <is>
          <t>PE</t>
        </is>
      </c>
      <c r="N70" t="inlineStr">
        <is>
          <t>09:26:01</t>
        </is>
      </c>
      <c r="O70" t="inlineStr">
        <is>
          <t>09:30:00</t>
        </is>
      </c>
      <c r="P70" t="n">
        <v>114.5</v>
      </c>
      <c r="Q70" t="n">
        <v>103.62</v>
      </c>
      <c r="R70" t="n">
        <v>90500</v>
      </c>
      <c r="S70" t="n">
        <v>100000</v>
      </c>
      <c r="T70" t="n">
        <v>70000</v>
      </c>
      <c r="U70" t="inlineStr">
        <is>
          <t>EXECUTED</t>
        </is>
      </c>
      <c r="V70" t="n">
        <v>-95.50218340611353</v>
      </c>
      <c r="W70" t="n">
        <v>-106.3318777292577</v>
      </c>
      <c r="X70" s="2">
        <f>HYPERLINK("file:///C:/Users/Hemant/OneDrive/Documents/Projects/kiteconnect_demarker/backtesting/data_st50/JAN20_DYNAMIC/JAN14/OTM/NIFTY2612025700PE_strategy.html", "View")</f>
        <v/>
      </c>
      <c r="AA70" t="inlineStr">
        <is>
          <t>BEARISH</t>
        </is>
      </c>
      <c r="AB70" t="inlineStr">
        <is>
          <t>INCLUDED (HYBRID_NEUTRAL_ZONE)</t>
        </is>
      </c>
      <c r="AC70" t="n">
        <v>-9.5</v>
      </c>
      <c r="AD70" t="inlineStr">
        <is>
          <t>Fixed Stop Loss</t>
        </is>
      </c>
      <c r="AE70" t="n">
        <v>-9.5</v>
      </c>
      <c r="AF70" t="n">
        <v>5.15</v>
      </c>
      <c r="AG70" t="n">
        <v>-7.25</v>
      </c>
      <c r="AH70" t="n">
        <v>0</v>
      </c>
    </row>
    <row r="71">
      <c r="A71" s="2">
        <f>HYPERLINK("file:///C:/Users/Hemant/OneDrive/Documents/Projects/kiteconnect_demarker/backtesting/data_st50/JAN20_DYNAMIC/JAN16/OTM/NIFTY2612025850CE_strategy.csv", "NIFTY2612025850CE")</f>
        <v/>
      </c>
      <c r="B71" t="n">
        <v>116.43</v>
      </c>
      <c r="C71" t="n">
        <v>-1</v>
      </c>
      <c r="D71" t="n">
        <v>96.83</v>
      </c>
      <c r="E71" t="n">
        <v>94.81</v>
      </c>
      <c r="F71" t="n">
        <v>-20.7</v>
      </c>
      <c r="G71" t="n">
        <v>-67.78</v>
      </c>
      <c r="H71" t="n">
        <v>102.39</v>
      </c>
      <c r="I71" t="n">
        <v>104.45</v>
      </c>
      <c r="J71" t="inlineStr">
        <is>
          <t>2026-01-16</t>
        </is>
      </c>
      <c r="K71" t="inlineStr">
        <is>
          <t>BULLISH</t>
        </is>
      </c>
      <c r="L71" t="inlineStr">
        <is>
          <t>BULLISH</t>
        </is>
      </c>
      <c r="M71" t="inlineStr">
        <is>
          <t>CE</t>
        </is>
      </c>
      <c r="N71" t="inlineStr">
        <is>
          <t>11:28:01</t>
        </is>
      </c>
      <c r="O71" t="inlineStr">
        <is>
          <t>11:33:00</t>
        </is>
      </c>
      <c r="P71" t="n">
        <v>105.5</v>
      </c>
      <c r="Q71" t="n">
        <v>95.48</v>
      </c>
      <c r="R71" t="n">
        <v>69877.44</v>
      </c>
      <c r="S71" t="n">
        <v>100000</v>
      </c>
      <c r="T71" t="n">
        <v>70000</v>
      </c>
      <c r="U71" t="inlineStr">
        <is>
          <t>EXECUTED</t>
        </is>
      </c>
      <c r="V71" t="n">
        <v>-89.22274881516587</v>
      </c>
      <c r="W71" t="n">
        <v>-109.4312796208531</v>
      </c>
      <c r="X71" s="2">
        <f>HYPERLINK("file:///C:/Users/Hemant/OneDrive/Documents/Projects/kiteconnect_demarker/backtesting/data_st50/JAN20_DYNAMIC/JAN16/OTM/NIFTY2612025850CE_strategy.html", "View")</f>
        <v/>
      </c>
      <c r="AA71" t="inlineStr">
        <is>
          <t>NEUTRAL</t>
        </is>
      </c>
      <c r="AB71" t="inlineStr">
        <is>
          <t>INCLUDED</t>
        </is>
      </c>
      <c r="AC71" t="n">
        <v>-9.5</v>
      </c>
      <c r="AD71" t="inlineStr">
        <is>
          <t>Fixed Stop Loss</t>
        </is>
      </c>
      <c r="AE71" t="n">
        <v>-9.5</v>
      </c>
      <c r="AF71" t="n">
        <v>11.37</v>
      </c>
      <c r="AG71" t="n">
        <v>-9.949999999999999</v>
      </c>
      <c r="AH71" t="n">
        <v>0</v>
      </c>
    </row>
    <row r="72">
      <c r="A72" s="2">
        <f>HYPERLINK("file:///C:/Users/Hemant/OneDrive/Documents/Projects/kiteconnect_demarker/backtesting/data_st50/JAN20_DYNAMIC/JAN16/OTM/NIFTY2612025850CE_strategy.csv", "NIFTY2612025850CE")</f>
        <v/>
      </c>
      <c r="B72" t="n">
        <v>120.34</v>
      </c>
      <c r="C72" t="n">
        <v>-1</v>
      </c>
      <c r="D72" t="n">
        <v>63.7</v>
      </c>
      <c r="E72" t="n">
        <v>38.86</v>
      </c>
      <c r="F72" t="n">
        <v>-63.45</v>
      </c>
      <c r="G72" t="n">
        <v>-73.94</v>
      </c>
      <c r="H72" t="n">
        <v>110.04</v>
      </c>
      <c r="I72" t="n">
        <v>112.27</v>
      </c>
      <c r="J72" t="inlineStr">
        <is>
          <t>2026-01-16</t>
        </is>
      </c>
      <c r="K72" t="inlineStr">
        <is>
          <t>BULLISH</t>
        </is>
      </c>
      <c r="L72" t="inlineStr">
        <is>
          <t>BULLISH</t>
        </is>
      </c>
      <c r="M72" t="inlineStr">
        <is>
          <t>CE</t>
        </is>
      </c>
      <c r="N72" t="inlineStr">
        <is>
          <t>11:16:01</t>
        </is>
      </c>
      <c r="O72" t="inlineStr">
        <is>
          <t>11:19:00</t>
        </is>
      </c>
      <c r="P72" t="n">
        <v>109.25</v>
      </c>
      <c r="Q72" t="n">
        <v>98.87</v>
      </c>
      <c r="R72" t="n">
        <v>74121.75999999999</v>
      </c>
      <c r="S72" t="n">
        <v>100000</v>
      </c>
      <c r="T72" t="n">
        <v>70000</v>
      </c>
      <c r="U72" t="inlineStr">
        <is>
          <t>EXECUTED</t>
        </is>
      </c>
      <c r="V72" t="n">
        <v>-100</v>
      </c>
      <c r="W72" t="n">
        <v>-109.720823798627</v>
      </c>
      <c r="X72" s="2">
        <f>HYPERLINK("file:///C:/Users/Hemant/OneDrive/Documents/Projects/kiteconnect_demarker/backtesting/data_st50/JAN20_DYNAMIC/JAN16/OTM/NIFTY2612025850CE_strategy.html", "View")</f>
        <v/>
      </c>
      <c r="AA72" t="inlineStr">
        <is>
          <t>NEUTRAL</t>
        </is>
      </c>
      <c r="AB72" t="inlineStr">
        <is>
          <t>INCLUDED</t>
        </is>
      </c>
      <c r="AC72" t="n">
        <v>-9.5</v>
      </c>
      <c r="AD72" t="inlineStr">
        <is>
          <t>Fixed Stop Loss</t>
        </is>
      </c>
      <c r="AE72" t="n">
        <v>-9.5</v>
      </c>
      <c r="AF72" t="n">
        <v>0</v>
      </c>
      <c r="AG72" t="n">
        <v>-10.62</v>
      </c>
      <c r="AH72" t="n">
        <v>0</v>
      </c>
    </row>
    <row r="73">
      <c r="A73" s="2">
        <f>HYPERLINK("file:///C:/Users/Hemant/OneDrive/Documents/Projects/kiteconnect_demarker/backtesting/data_st50/JAN20_DYNAMIC/JAN16/OTM/NIFTY2612025750CE_strategy.csv", "NIFTY2612025750CE")</f>
        <v/>
      </c>
      <c r="B73" t="n">
        <v>121.52</v>
      </c>
      <c r="C73" t="n">
        <v>-1</v>
      </c>
      <c r="D73" t="n">
        <v>34.51</v>
      </c>
      <c r="E73" t="n">
        <v>25.62</v>
      </c>
      <c r="F73" t="n">
        <v>-49.77</v>
      </c>
      <c r="G73" t="n">
        <v>-60.18</v>
      </c>
      <c r="H73" t="n">
        <v>104.64</v>
      </c>
      <c r="I73" t="n">
        <v>105.8</v>
      </c>
      <c r="J73" t="inlineStr">
        <is>
          <t>2026-01-16</t>
        </is>
      </c>
      <c r="K73" t="inlineStr">
        <is>
          <t>BEARISH</t>
        </is>
      </c>
      <c r="L73" t="inlineStr">
        <is>
          <t>BULLISH</t>
        </is>
      </c>
      <c r="M73" t="inlineStr">
        <is>
          <t>CE</t>
        </is>
      </c>
      <c r="N73" t="inlineStr">
        <is>
          <t>09:36:01</t>
        </is>
      </c>
      <c r="O73" t="inlineStr">
        <is>
          <t>09:40:00</t>
        </is>
      </c>
      <c r="P73" t="n">
        <v>103.2</v>
      </c>
      <c r="Q73" t="n">
        <v>93.40000000000001</v>
      </c>
      <c r="R73" t="n">
        <v>90500</v>
      </c>
      <c r="S73" t="n">
        <v>100000</v>
      </c>
      <c r="T73" t="n">
        <v>70000</v>
      </c>
      <c r="U73" t="inlineStr">
        <is>
          <t>EXECUTED</t>
        </is>
      </c>
      <c r="V73" t="n">
        <v>-97.22868217054264</v>
      </c>
      <c r="W73" t="n">
        <v>-108.6337209302326</v>
      </c>
      <c r="X73" s="2">
        <f>HYPERLINK("file:///C:/Users/Hemant/OneDrive/Documents/Projects/kiteconnect_demarker/backtesting/data_st50/JAN20_DYNAMIC/JAN16/OTM/NIFTY2612025750CE_strategy.html", "View")</f>
        <v/>
      </c>
      <c r="AA73" t="inlineStr">
        <is>
          <t>BULLISH</t>
        </is>
      </c>
      <c r="AB73" t="inlineStr">
        <is>
          <t>INCLUDED (HYBRID_NEUTRAL_ZONE)</t>
        </is>
      </c>
      <c r="AC73" t="n">
        <v>-9.5</v>
      </c>
      <c r="AD73" t="inlineStr">
        <is>
          <t>Fixed Stop Loss</t>
        </is>
      </c>
      <c r="AE73" t="n">
        <v>-9.5</v>
      </c>
      <c r="AF73" t="n">
        <v>2.86</v>
      </c>
      <c r="AG73" t="n">
        <v>-8.91</v>
      </c>
      <c r="AH73" t="n">
        <v>0</v>
      </c>
    </row>
    <row r="74">
      <c r="A74" s="2">
        <f>HYPERLINK("file:///C:/Users/Hemant/OneDrive/Documents/Projects/kiteconnect_demarker/backtesting/data_st50/JAN20_DYNAMIC/JAN16/OTM/NIFTY2612025700PE_strategy.csv", "NIFTY2612025700PE")</f>
        <v/>
      </c>
      <c r="B74" t="n">
        <v>109.77</v>
      </c>
      <c r="C74" t="n">
        <v>-1</v>
      </c>
      <c r="D74" t="n">
        <v>100</v>
      </c>
      <c r="E74" t="n">
        <v>94.88</v>
      </c>
      <c r="F74" t="n">
        <v>-8.31</v>
      </c>
      <c r="G74" t="n">
        <v>-64.59999999999999</v>
      </c>
      <c r="H74" t="n">
        <v>91.29000000000001</v>
      </c>
      <c r="I74" t="n">
        <v>95.65000000000001</v>
      </c>
      <c r="J74" t="inlineStr">
        <is>
          <t>2026-01-16</t>
        </is>
      </c>
      <c r="K74" t="inlineStr">
        <is>
          <t>BEARISH</t>
        </is>
      </c>
      <c r="L74" t="inlineStr">
        <is>
          <t>BULLISH</t>
        </is>
      </c>
      <c r="M74" t="inlineStr">
        <is>
          <t>PE</t>
        </is>
      </c>
      <c r="N74" t="inlineStr">
        <is>
          <t>09:32:01</t>
        </is>
      </c>
      <c r="O74" t="inlineStr">
        <is>
          <t>09:43:00</t>
        </is>
      </c>
      <c r="P74" t="n">
        <v>95.25</v>
      </c>
      <c r="Q74" t="n">
        <v>86.2</v>
      </c>
      <c r="R74" t="n">
        <v>81902.5</v>
      </c>
      <c r="S74" t="n">
        <v>100000</v>
      </c>
      <c r="T74" t="n">
        <v>70000</v>
      </c>
      <c r="U74" t="inlineStr">
        <is>
          <t>EXECUTED</t>
        </is>
      </c>
      <c r="V74" t="n">
        <v>-88.87139107611549</v>
      </c>
      <c r="W74" t="n">
        <v>-113.3333333333333</v>
      </c>
      <c r="X74" s="2">
        <f>HYPERLINK("file:///C:/Users/Hemant/OneDrive/Documents/Projects/kiteconnect_demarker/backtesting/data_st50/JAN20_DYNAMIC/JAN16/OTM/NIFTY2612025700PE_strategy.html", "View")</f>
        <v/>
      </c>
      <c r="AA74" t="inlineStr">
        <is>
          <t>BEARISH</t>
        </is>
      </c>
      <c r="AB74" t="inlineStr">
        <is>
          <t>INCLUDED (HYBRID_NEUTRAL_ZONE)</t>
        </is>
      </c>
      <c r="AC74" t="n">
        <v>-9.5</v>
      </c>
      <c r="AD74" t="inlineStr">
        <is>
          <t>Fixed Stop Loss</t>
        </is>
      </c>
      <c r="AE74" t="n">
        <v>-9.5</v>
      </c>
      <c r="AF74" t="n">
        <v>10.6</v>
      </c>
      <c r="AG74" t="n">
        <v>-12.7</v>
      </c>
      <c r="AH74" t="n">
        <v>0</v>
      </c>
    </row>
    <row r="75">
      <c r="A75" s="2">
        <f>HYPERLINK("file:///C:/Users/Hemant/OneDrive/Documents/Projects/kiteconnect_demarker/backtesting/data_st50/JAN20_DYNAMIC/JAN19/OTM/NIFTY2612025550PE_strategy.csv", "NIFTY2612025550PE")</f>
        <v/>
      </c>
      <c r="B75" t="n">
        <v>78.39</v>
      </c>
      <c r="C75" t="n">
        <v>-1</v>
      </c>
      <c r="D75" t="n">
        <v>38.09</v>
      </c>
      <c r="E75" t="n">
        <v>30.91</v>
      </c>
      <c r="F75" t="n">
        <v>-33.56</v>
      </c>
      <c r="G75" t="n">
        <v>-68.29000000000001</v>
      </c>
      <c r="H75" t="n">
        <v>68.70999999999999</v>
      </c>
      <c r="I75" t="n">
        <v>70.61</v>
      </c>
      <c r="J75" t="inlineStr">
        <is>
          <t>2026-01-19</t>
        </is>
      </c>
      <c r="K75" t="inlineStr">
        <is>
          <t>BULLISH</t>
        </is>
      </c>
      <c r="L75" t="inlineStr">
        <is>
          <t>BEARISH</t>
        </is>
      </c>
      <c r="M75" t="inlineStr">
        <is>
          <t>PE</t>
        </is>
      </c>
      <c r="N75" t="inlineStr">
        <is>
          <t>13:41:01</t>
        </is>
      </c>
      <c r="O75" t="inlineStr">
        <is>
          <t>13:47:00</t>
        </is>
      </c>
      <c r="P75" t="n">
        <v>69.45</v>
      </c>
      <c r="Q75" t="n">
        <v>62.85</v>
      </c>
      <c r="R75" t="n">
        <v>104598.6</v>
      </c>
      <c r="S75" t="n">
        <v>116182.72</v>
      </c>
      <c r="T75" t="n">
        <v>81327.89999999999</v>
      </c>
      <c r="U75" t="inlineStr">
        <is>
          <t>EXECUTED</t>
        </is>
      </c>
      <c r="V75" t="n">
        <v>-90.05039596832253</v>
      </c>
      <c r="W75" t="n">
        <v>-108.4953203743701</v>
      </c>
      <c r="X75" s="2">
        <f>HYPERLINK("file:///C:/Users/Hemant/OneDrive/Documents/Projects/kiteconnect_demarker/backtesting/data_st50/JAN20_DYNAMIC/JAN19/OTM/NIFTY2612025550PE_strategy.html", "View")</f>
        <v/>
      </c>
      <c r="AA75" t="inlineStr">
        <is>
          <t>BULLISH</t>
        </is>
      </c>
      <c r="AB75" t="inlineStr">
        <is>
          <t>INCLUDED (HYBRID_NEUTRAL_ZONE)</t>
        </is>
      </c>
      <c r="AC75" t="n">
        <v>-9.5</v>
      </c>
      <c r="AD75" t="inlineStr">
        <is>
          <t>Fixed Stop Loss</t>
        </is>
      </c>
      <c r="AE75" t="n">
        <v>-9.5</v>
      </c>
      <c r="AF75" t="n">
        <v>6.91</v>
      </c>
      <c r="AG75" t="n">
        <v>-5.9</v>
      </c>
      <c r="AH75" t="n">
        <v>0</v>
      </c>
    </row>
    <row r="76">
      <c r="A76" s="2">
        <f>HYPERLINK("file:///C:/Users/Hemant/OneDrive/Documents/Projects/kiteconnect_demarker/backtesting/data_st50/JAN20_DYNAMIC/JAN19/OTM/NIFTY2612025600CE_strategy.csv", "NIFTY2612025600CE")</f>
        <v/>
      </c>
      <c r="B76" t="n">
        <v>83.16</v>
      </c>
      <c r="C76" t="n">
        <v>-1</v>
      </c>
      <c r="D76" t="n">
        <v>79.55</v>
      </c>
      <c r="E76" t="n">
        <v>76.95999999999999</v>
      </c>
      <c r="F76" t="n">
        <v>-57.3</v>
      </c>
      <c r="G76" t="n">
        <v>-61.45</v>
      </c>
      <c r="H76" t="n">
        <v>66.66</v>
      </c>
      <c r="I76" t="n">
        <v>69.54000000000001</v>
      </c>
      <c r="J76" t="inlineStr">
        <is>
          <t>2026-01-19</t>
        </is>
      </c>
      <c r="K76" t="inlineStr">
        <is>
          <t>BULLISH</t>
        </is>
      </c>
      <c r="L76" t="inlineStr">
        <is>
          <t>BEARISH</t>
        </is>
      </c>
      <c r="M76" t="inlineStr">
        <is>
          <t>CE</t>
        </is>
      </c>
      <c r="N76" t="inlineStr">
        <is>
          <t>09:45:01</t>
        </is>
      </c>
      <c r="O76" t="inlineStr">
        <is>
          <t>09:54:00</t>
        </is>
      </c>
      <c r="P76" t="n">
        <v>67.55</v>
      </c>
      <c r="Q76" t="n">
        <v>61.13</v>
      </c>
      <c r="R76" t="n">
        <v>90500</v>
      </c>
      <c r="S76" t="n">
        <v>100000</v>
      </c>
      <c r="T76" t="n">
        <v>70000</v>
      </c>
      <c r="U76" t="inlineStr">
        <is>
          <t>EXECUTED</t>
        </is>
      </c>
      <c r="V76" t="n">
        <v>-85.86232420429312</v>
      </c>
      <c r="W76" t="n">
        <v>-111.5025906735751</v>
      </c>
      <c r="X76" s="2">
        <f>HYPERLINK("file:///C:/Users/Hemant/OneDrive/Documents/Projects/kiteconnect_demarker/backtesting/data_st50/JAN20_DYNAMIC/JAN19/OTM/NIFTY2612025600CE_strategy.html", "View")</f>
        <v/>
      </c>
      <c r="AA76" t="inlineStr">
        <is>
          <t>NEUTRAL</t>
        </is>
      </c>
      <c r="AB76" t="inlineStr">
        <is>
          <t>INCLUDED</t>
        </is>
      </c>
      <c r="AC76" t="n">
        <v>-9.5</v>
      </c>
      <c r="AD76" t="inlineStr">
        <is>
          <t>Fixed Stop Loss</t>
        </is>
      </c>
      <c r="AE76" t="n">
        <v>-9.5</v>
      </c>
      <c r="AF76" t="n">
        <v>9.550000000000001</v>
      </c>
      <c r="AG76" t="n">
        <v>-7.77</v>
      </c>
      <c r="AH76" t="n">
        <v>0</v>
      </c>
    </row>
    <row r="77">
      <c r="A77" s="2">
        <f>HYPERLINK("file:///C:/Users/Hemant/OneDrive/Documents/Projects/kiteconnect_demarker/backtesting/data_st50/JAN27_DYNAMIC/JAN21/OTM/NIFTY26JAN25200PE_strategy.csv", "NIFTY26JAN25200PE")</f>
        <v/>
      </c>
      <c r="B77" t="n">
        <v>146.35</v>
      </c>
      <c r="C77" t="n">
        <v>-1</v>
      </c>
      <c r="D77" t="n">
        <v>56.66</v>
      </c>
      <c r="E77" t="n">
        <v>33.89</v>
      </c>
      <c r="F77" t="n">
        <v>-32.19</v>
      </c>
      <c r="G77" t="n">
        <v>-69.08</v>
      </c>
      <c r="H77" t="n">
        <v>122.93</v>
      </c>
      <c r="I77" t="n">
        <v>124.85</v>
      </c>
      <c r="J77" t="inlineStr">
        <is>
          <t>2026-01-21</t>
        </is>
      </c>
      <c r="K77" t="inlineStr">
        <is>
          <t>BEARISH</t>
        </is>
      </c>
      <c r="M77" t="inlineStr">
        <is>
          <t>PE</t>
        </is>
      </c>
      <c r="N77" t="inlineStr">
        <is>
          <t>09:29:01</t>
        </is>
      </c>
      <c r="O77" t="inlineStr">
        <is>
          <t>09:34:00</t>
        </is>
      </c>
      <c r="P77" t="n">
        <v>118.05</v>
      </c>
      <c r="Q77" t="n">
        <v>106.84</v>
      </c>
      <c r="R77" t="n">
        <v>90500</v>
      </c>
      <c r="S77" t="n">
        <v>100000</v>
      </c>
      <c r="T77" t="n">
        <v>70000</v>
      </c>
      <c r="U77" t="inlineStr">
        <is>
          <t>EXECUTED</t>
        </is>
      </c>
      <c r="V77" t="n">
        <v>-92.10504023718762</v>
      </c>
      <c r="W77" t="n">
        <v>-105.3790766624312</v>
      </c>
      <c r="X77" s="2">
        <f>HYPERLINK("file:///C:/Users/Hemant/OneDrive/Documents/Projects/kiteconnect_demarker/backtesting/data_st50/JAN27_DYNAMIC/JAN21/OTM/NIFTY26JAN25200PE_strategy.html", "View")</f>
        <v/>
      </c>
      <c r="AA77" t="inlineStr">
        <is>
          <t>NEUTRAL</t>
        </is>
      </c>
      <c r="AB77" t="inlineStr">
        <is>
          <t>INCLUDED</t>
        </is>
      </c>
      <c r="AC77" t="n">
        <v>-9.5</v>
      </c>
      <c r="AD77" t="inlineStr">
        <is>
          <t>Fixed Stop Loss</t>
        </is>
      </c>
      <c r="AE77" t="n">
        <v>-9.5</v>
      </c>
      <c r="AF77" t="n">
        <v>9.32</v>
      </c>
      <c r="AG77" t="n">
        <v>-6.35</v>
      </c>
      <c r="AH77" t="n">
        <v>0</v>
      </c>
    </row>
    <row r="78">
      <c r="A78" s="2">
        <f>HYPERLINK("file:///C:/Users/Hemant/OneDrive/Documents/Projects/kiteconnect_demarker/backtesting/data_st50/JAN27_DYNAMIC/JAN22/OTM/NIFTY26JAN25200PE_strategy.csv", "NIFTY26JAN25200PE")</f>
        <v/>
      </c>
      <c r="B78" t="n">
        <v>131.23</v>
      </c>
      <c r="C78" t="n">
        <v>-1</v>
      </c>
      <c r="D78" t="n">
        <v>39.28</v>
      </c>
      <c r="E78" t="n">
        <v>24.52</v>
      </c>
      <c r="F78" t="n">
        <v>-57.92</v>
      </c>
      <c r="G78" t="n">
        <v>-57.92</v>
      </c>
      <c r="H78" t="n">
        <v>119.93</v>
      </c>
      <c r="I78" t="n">
        <v>120.46</v>
      </c>
      <c r="J78" t="inlineStr">
        <is>
          <t>2026-01-22</t>
        </is>
      </c>
      <c r="K78" t="inlineStr">
        <is>
          <t>BEARISH</t>
        </is>
      </c>
      <c r="L78" t="inlineStr">
        <is>
          <t>BULLISH</t>
        </is>
      </c>
      <c r="M78" t="inlineStr">
        <is>
          <t>PE</t>
        </is>
      </c>
      <c r="N78" t="inlineStr">
        <is>
          <t>13:38:01</t>
        </is>
      </c>
      <c r="O78" t="inlineStr">
        <is>
          <t>13:51:00</t>
        </is>
      </c>
      <c r="P78" t="n">
        <v>117.05</v>
      </c>
      <c r="Q78" t="n">
        <v>105.93</v>
      </c>
      <c r="R78" t="n">
        <v>121541.5</v>
      </c>
      <c r="S78" t="n">
        <v>134300</v>
      </c>
      <c r="T78" t="n">
        <v>94010</v>
      </c>
      <c r="U78" t="inlineStr">
        <is>
          <t>EXECUTED</t>
        </is>
      </c>
      <c r="V78" t="n">
        <v>-91.75565997436992</v>
      </c>
      <c r="W78" t="n">
        <v>-109.2353695002136</v>
      </c>
      <c r="X78" s="2">
        <f>HYPERLINK("file:///C:/Users/Hemant/OneDrive/Documents/Projects/kiteconnect_demarker/backtesting/data_st50/JAN27_DYNAMIC/JAN22/OTM/NIFTY26JAN25200PE_strategy.html", "View")</f>
        <v/>
      </c>
      <c r="AA78" t="inlineStr">
        <is>
          <t>NEUTRAL</t>
        </is>
      </c>
      <c r="AB78" t="inlineStr">
        <is>
          <t>INCLUDED</t>
        </is>
      </c>
      <c r="AC78" t="n">
        <v>-9.5</v>
      </c>
      <c r="AD78" t="inlineStr">
        <is>
          <t>Fixed Stop Loss</t>
        </is>
      </c>
      <c r="AE78" t="n">
        <v>-9.5</v>
      </c>
      <c r="AF78" t="n">
        <v>9.65</v>
      </c>
      <c r="AG78" t="n">
        <v>-10.81</v>
      </c>
      <c r="AH78" t="n">
        <v>0</v>
      </c>
    </row>
    <row r="79">
      <c r="A79" s="2">
        <f>HYPERLINK("file:///C:/Users/Hemant/OneDrive/Documents/Projects/kiteconnect_demarker/backtesting/data_st50/JAN27_DYNAMIC/JAN23/OTM/NIFTY26JAN25300CE_strategy.csv", "NIFTY26JAN25300CE")</f>
        <v/>
      </c>
      <c r="B79" t="n">
        <v>115.49</v>
      </c>
      <c r="C79" t="n">
        <v>-1</v>
      </c>
      <c r="D79" t="n">
        <v>40.54</v>
      </c>
      <c r="E79" t="n">
        <v>31.09</v>
      </c>
      <c r="F79" t="n">
        <v>-51.18</v>
      </c>
      <c r="G79" t="n">
        <v>-63.95</v>
      </c>
      <c r="H79" t="n">
        <v>102.39</v>
      </c>
      <c r="I79" t="n">
        <v>104.2</v>
      </c>
      <c r="J79" t="inlineStr">
        <is>
          <t>2026-01-23</t>
        </is>
      </c>
      <c r="K79" t="inlineStr">
        <is>
          <t>BEARISH</t>
        </is>
      </c>
      <c r="L79" t="inlineStr">
        <is>
          <t>BEARISH</t>
        </is>
      </c>
      <c r="M79" t="inlineStr">
        <is>
          <t>CE</t>
        </is>
      </c>
      <c r="N79" t="inlineStr">
        <is>
          <t>11:24:01</t>
        </is>
      </c>
      <c r="O79" t="inlineStr">
        <is>
          <t>11:33:00</t>
        </is>
      </c>
      <c r="P79" t="n">
        <v>104.2</v>
      </c>
      <c r="Q79" t="n">
        <v>94.3</v>
      </c>
      <c r="R79" t="n">
        <v>74121.75999999999</v>
      </c>
      <c r="S79" t="n">
        <v>100000</v>
      </c>
      <c r="T79" t="n">
        <v>70000</v>
      </c>
      <c r="U79" t="inlineStr">
        <is>
          <t>EXECUTED</t>
        </is>
      </c>
      <c r="V79" t="n">
        <v>-98.25335892514396</v>
      </c>
      <c r="W79" t="n">
        <v>-110.7293666026871</v>
      </c>
      <c r="X79" s="2">
        <f>HYPERLINK("file:///C:/Users/Hemant/OneDrive/Documents/Projects/kiteconnect_demarker/backtesting/data_st50/JAN27_DYNAMIC/JAN23/OTM/NIFTY26JAN25300CE_strategy.html", "View")</f>
        <v/>
      </c>
      <c r="AA79" t="inlineStr">
        <is>
          <t>BEARISH</t>
        </is>
      </c>
      <c r="AB79" t="inlineStr">
        <is>
          <t>INCLUDED (HYBRID_NEUTRAL_ZONE)</t>
        </is>
      </c>
      <c r="AC79" t="n">
        <v>-9.5</v>
      </c>
      <c r="AD79" t="inlineStr">
        <is>
          <t>Fixed Stop Loss</t>
        </is>
      </c>
      <c r="AE79" t="n">
        <v>-9.5</v>
      </c>
      <c r="AF79" t="n">
        <v>1.82</v>
      </c>
      <c r="AG79" t="n">
        <v>-11.18</v>
      </c>
      <c r="AH79" t="n">
        <v>0</v>
      </c>
    </row>
    <row r="80">
      <c r="A80" s="2">
        <f>HYPERLINK("file:///C:/Users/Hemant/OneDrive/Documents/Projects/kiteconnect_demarker/backtesting/data_st50/JAN27_DYNAMIC/JAN23/OTM/NIFTY26JAN25300CE_strategy.csv", "NIFTY26JAN25300CE")</f>
        <v/>
      </c>
      <c r="B80" t="n">
        <v>120.95</v>
      </c>
      <c r="C80" t="n">
        <v>-1</v>
      </c>
      <c r="D80" t="n">
        <v>52.02</v>
      </c>
      <c r="E80" t="n">
        <v>30.16</v>
      </c>
      <c r="F80" t="n">
        <v>-64.42</v>
      </c>
      <c r="G80" t="n">
        <v>-83.55</v>
      </c>
      <c r="H80" t="n">
        <v>107.31</v>
      </c>
      <c r="I80" t="n">
        <v>108.77</v>
      </c>
      <c r="J80" t="inlineStr">
        <is>
          <t>2026-01-23</t>
        </is>
      </c>
      <c r="K80" t="inlineStr">
        <is>
          <t>BEARISH</t>
        </is>
      </c>
      <c r="L80" t="inlineStr">
        <is>
          <t>BEARISH</t>
        </is>
      </c>
      <c r="M80" t="inlineStr">
        <is>
          <t>CE</t>
        </is>
      </c>
      <c r="N80" t="inlineStr">
        <is>
          <t>11:07:01</t>
        </is>
      </c>
      <c r="O80" t="inlineStr">
        <is>
          <t>11:19:00</t>
        </is>
      </c>
      <c r="P80" t="n">
        <v>108.1</v>
      </c>
      <c r="Q80" t="n">
        <v>97.83</v>
      </c>
      <c r="R80" t="n">
        <v>81902.5</v>
      </c>
      <c r="S80" t="n">
        <v>100000</v>
      </c>
      <c r="T80" t="n">
        <v>70000</v>
      </c>
      <c r="U80" t="inlineStr">
        <is>
          <t>EXECUTED</t>
        </is>
      </c>
      <c r="V80" t="n">
        <v>-91.23034227567068</v>
      </c>
      <c r="W80" t="n">
        <v>-107.6133209990749</v>
      </c>
      <c r="X80" s="2">
        <f>HYPERLINK("file:///C:/Users/Hemant/OneDrive/Documents/Projects/kiteconnect_demarker/backtesting/data_st50/JAN27_DYNAMIC/JAN23/OTM/NIFTY26JAN25300CE_strategy.html", "View")</f>
        <v/>
      </c>
      <c r="AA80" t="inlineStr">
        <is>
          <t>BEARISH</t>
        </is>
      </c>
      <c r="AB80" t="inlineStr">
        <is>
          <t>INCLUDED (HYBRID_NEUTRAL_ZONE)</t>
        </is>
      </c>
      <c r="AC80" t="n">
        <v>-9.5</v>
      </c>
      <c r="AD80" t="inlineStr">
        <is>
          <t>Fixed Stop Loss</t>
        </is>
      </c>
      <c r="AE80" t="n">
        <v>-9.5</v>
      </c>
      <c r="AF80" t="n">
        <v>9.48</v>
      </c>
      <c r="AG80" t="n">
        <v>-8.23</v>
      </c>
      <c r="AH80" t="n">
        <v>0</v>
      </c>
    </row>
    <row r="81">
      <c r="A81" s="2">
        <f>HYPERLINK("file:///C:/Users/Hemant/OneDrive/Documents/Projects/kiteconnect_demarker/backtesting/data_st50/JAN27_DYNAMIC/JAN23/OTM/NIFTY26JAN25300CE_strategy.csv", "NIFTY26JAN25300CE")</f>
        <v/>
      </c>
      <c r="B81" t="n">
        <v>131.5</v>
      </c>
      <c r="C81" t="n">
        <v>-1</v>
      </c>
      <c r="D81" t="n">
        <v>26.92</v>
      </c>
      <c r="E81" t="n">
        <v>22.41</v>
      </c>
      <c r="F81" t="n">
        <v>-83.69</v>
      </c>
      <c r="G81" t="n">
        <v>-79.65000000000001</v>
      </c>
      <c r="H81" t="n">
        <v>115.33</v>
      </c>
      <c r="I81" t="n">
        <v>117.38</v>
      </c>
      <c r="J81" t="inlineStr">
        <is>
          <t>2026-01-23</t>
        </is>
      </c>
      <c r="K81" t="inlineStr">
        <is>
          <t>BEARISH</t>
        </is>
      </c>
      <c r="L81" t="inlineStr">
        <is>
          <t>BEARISH</t>
        </is>
      </c>
      <c r="M81" t="inlineStr">
        <is>
          <t>CE</t>
        </is>
      </c>
      <c r="N81" t="inlineStr">
        <is>
          <t>10:52:01</t>
        </is>
      </c>
      <c r="O81" t="inlineStr">
        <is>
          <t>11:04:00</t>
        </is>
      </c>
      <c r="P81" t="n">
        <v>113.5</v>
      </c>
      <c r="Q81" t="n">
        <v>102.72</v>
      </c>
      <c r="R81" t="n">
        <v>90500</v>
      </c>
      <c r="S81" t="n">
        <v>100000</v>
      </c>
      <c r="T81" t="n">
        <v>70000</v>
      </c>
      <c r="U81" t="inlineStr">
        <is>
          <t>EXECUTED</t>
        </is>
      </c>
      <c r="V81" t="n">
        <v>-97.74449339207048</v>
      </c>
      <c r="W81" t="n">
        <v>-104.6960352422907</v>
      </c>
      <c r="X81" s="2">
        <f>HYPERLINK("file:///C:/Users/Hemant/OneDrive/Documents/Projects/kiteconnect_demarker/backtesting/data_st50/JAN27_DYNAMIC/JAN23/OTM/NIFTY26JAN25300CE_strategy.html", "View")</f>
        <v/>
      </c>
      <c r="AA81" t="inlineStr">
        <is>
          <t>NEUTRAL</t>
        </is>
      </c>
      <c r="AB81" t="inlineStr">
        <is>
          <t>INCLUDED</t>
        </is>
      </c>
      <c r="AC81" t="n">
        <v>-9.5</v>
      </c>
      <c r="AD81" t="inlineStr">
        <is>
          <t>Fixed Stop Loss</t>
        </is>
      </c>
      <c r="AE81" t="n">
        <v>-9.5</v>
      </c>
      <c r="AF81" t="n">
        <v>2.56</v>
      </c>
      <c r="AG81" t="n">
        <v>-5.33</v>
      </c>
      <c r="AH81" t="n">
        <v>0</v>
      </c>
    </row>
    <row r="82">
      <c r="A82" s="2">
        <f>HYPERLINK("file:///C:/Users/Hemant/OneDrive/Documents/Projects/kiteconnect_demarker/backtesting/data_st50/FEB03_DYNAMIC/FEB02/OTM/NIFTY2620324800PE_strategy.csv", "NIFTY2620324800PE")</f>
        <v/>
      </c>
      <c r="B82" t="n">
        <v>147.13</v>
      </c>
      <c r="C82" t="n">
        <v>-1</v>
      </c>
      <c r="D82" t="n">
        <v>35.65</v>
      </c>
      <c r="E82" t="n">
        <v>26.63</v>
      </c>
      <c r="F82" t="n">
        <v>-92.22</v>
      </c>
      <c r="G82" t="n">
        <v>-94.27</v>
      </c>
      <c r="H82" t="n">
        <v>121.57</v>
      </c>
      <c r="I82" t="n">
        <v>122.7</v>
      </c>
      <c r="J82" t="inlineStr">
        <is>
          <t>2026-02-02</t>
        </is>
      </c>
      <c r="K82" t="inlineStr">
        <is>
          <t>BEARISH</t>
        </is>
      </c>
      <c r="L82" t="inlineStr">
        <is>
          <t>BEARISH</t>
        </is>
      </c>
      <c r="M82" t="inlineStr">
        <is>
          <t>PE</t>
        </is>
      </c>
      <c r="N82" t="inlineStr">
        <is>
          <t>10:30:01</t>
        </is>
      </c>
      <c r="O82" t="inlineStr">
        <is>
          <t>10:31:00</t>
        </is>
      </c>
      <c r="P82" t="n">
        <v>118</v>
      </c>
      <c r="Q82" t="n">
        <v>106.79</v>
      </c>
      <c r="R82" t="n">
        <v>90500</v>
      </c>
      <c r="S82" t="n">
        <v>100000</v>
      </c>
      <c r="T82" t="n">
        <v>70000</v>
      </c>
      <c r="U82" t="inlineStr">
        <is>
          <t>EXECUTED</t>
        </is>
      </c>
      <c r="V82" t="n">
        <v>-100</v>
      </c>
      <c r="W82" t="n">
        <v>-107.2203389830508</v>
      </c>
      <c r="X82" s="2">
        <f>HYPERLINK("file:///C:/Users/Hemant/OneDrive/Documents/Projects/kiteconnect_demarker/backtesting/data_st50/FEB03_DYNAMIC/FEB02/OTM/NIFTY2620324800PE_strategy.html", "View")</f>
        <v/>
      </c>
      <c r="AA82" t="inlineStr">
        <is>
          <t>BEARISH</t>
        </is>
      </c>
      <c r="AB82" t="inlineStr">
        <is>
          <t>INCLUDED (HYBRID_NEUTRAL_ZONE)</t>
        </is>
      </c>
      <c r="AC82" t="n">
        <v>-9.5</v>
      </c>
      <c r="AD82" t="inlineStr">
        <is>
          <t>Fixed Stop Loss</t>
        </is>
      </c>
      <c r="AE82" t="n">
        <v>-9.5</v>
      </c>
      <c r="AF82" t="n">
        <v>0</v>
      </c>
      <c r="AG82" t="n">
        <v>-8.52</v>
      </c>
      <c r="AH82" t="n">
        <v>0</v>
      </c>
    </row>
    <row r="83">
      <c r="A83" s="2">
        <f>HYPERLINK("file:///C:/Users/Hemant/OneDrive/Documents/Projects/kiteconnect_demarker/backtesting/data_st50/FEB10_DYNAMIC/FEB06/OTM/NIFTY2621025600PE_strategy.csv", "NIFTY2621025600PE")</f>
        <v/>
      </c>
      <c r="B83" t="n">
        <v>105.83</v>
      </c>
      <c r="C83" t="n">
        <v>-1</v>
      </c>
      <c r="D83" t="n">
        <v>89.25</v>
      </c>
      <c r="E83" t="n">
        <v>78.12</v>
      </c>
      <c r="F83" t="n">
        <v>-58.64</v>
      </c>
      <c r="G83" t="n">
        <v>-79.56999999999999</v>
      </c>
      <c r="H83" t="n">
        <v>95.42</v>
      </c>
      <c r="I83" t="n">
        <v>96.87</v>
      </c>
      <c r="J83" t="inlineStr">
        <is>
          <t>2026-02-06</t>
        </is>
      </c>
      <c r="K83" t="inlineStr">
        <is>
          <t>BULLISH</t>
        </is>
      </c>
      <c r="M83" t="inlineStr">
        <is>
          <t>PE</t>
        </is>
      </c>
      <c r="N83" t="inlineStr">
        <is>
          <t>11:53:01</t>
        </is>
      </c>
      <c r="O83" t="inlineStr">
        <is>
          <t>12:00:00</t>
        </is>
      </c>
      <c r="P83" t="n">
        <v>96.45</v>
      </c>
      <c r="Q83" t="n">
        <v>87.29000000000001</v>
      </c>
      <c r="R83" t="n">
        <v>67858.33</v>
      </c>
      <c r="S83" t="n">
        <v>100000</v>
      </c>
      <c r="T83" t="n">
        <v>70000</v>
      </c>
      <c r="U83" t="inlineStr">
        <is>
          <t>EXECUTED</t>
        </is>
      </c>
      <c r="V83" t="n">
        <v>-95.54173146708139</v>
      </c>
      <c r="W83" t="n">
        <v>-106.1793675479523</v>
      </c>
      <c r="X83" s="2">
        <f>HYPERLINK("file:///C:/Users/Hemant/OneDrive/Documents/Projects/kiteconnect_demarker/backtesting/data_st50/FEB10_DYNAMIC/FEB06/OTM/NIFTY2621025600PE_strategy.html", "View")</f>
        <v/>
      </c>
      <c r="AA83" t="inlineStr">
        <is>
          <t>BULLISH</t>
        </is>
      </c>
      <c r="AB83" t="inlineStr">
        <is>
          <t>INCLUDED (HYBRID_NEUTRAL_ZONE)</t>
        </is>
      </c>
      <c r="AC83" t="n">
        <v>-9.5</v>
      </c>
      <c r="AD83" t="inlineStr">
        <is>
          <t>Fixed Stop Loss</t>
        </is>
      </c>
      <c r="AE83" t="n">
        <v>-9.5</v>
      </c>
      <c r="AF83" t="n">
        <v>4.3</v>
      </c>
      <c r="AG83" t="n">
        <v>-5.96</v>
      </c>
      <c r="AH83" t="n">
        <v>0</v>
      </c>
    </row>
    <row r="84">
      <c r="A84" s="2">
        <f>HYPERLINK("file:///C:/Users/Hemant/OneDrive/Documents/Projects/kiteconnect_demarker/backtesting/data_st50/FEB10_DYNAMIC/FEB06/OTM/NIFTY2621025600PE_strategy.csv", "NIFTY2621025600PE")</f>
        <v/>
      </c>
      <c r="B84" t="n">
        <v>107.06</v>
      </c>
      <c r="C84" t="n">
        <v>-1</v>
      </c>
      <c r="D84" t="n">
        <v>86.43000000000001</v>
      </c>
      <c r="E84" t="n">
        <v>66.66</v>
      </c>
      <c r="F84" t="n">
        <v>-56.41</v>
      </c>
      <c r="G84" t="n">
        <v>-85.87</v>
      </c>
      <c r="H84" t="n">
        <v>95.44</v>
      </c>
      <c r="I84" t="n">
        <v>100.11</v>
      </c>
      <c r="J84" t="inlineStr">
        <is>
          <t>2026-02-06</t>
        </is>
      </c>
      <c r="K84" t="inlineStr">
        <is>
          <t>BULLISH</t>
        </is>
      </c>
      <c r="M84" t="inlineStr">
        <is>
          <t>PE</t>
        </is>
      </c>
      <c r="N84" t="inlineStr">
        <is>
          <t>11:46:01</t>
        </is>
      </c>
      <c r="O84" t="inlineStr">
        <is>
          <t>11:49:00</t>
        </is>
      </c>
      <c r="P84" t="n">
        <v>101.4</v>
      </c>
      <c r="Q84" t="n">
        <v>91.77</v>
      </c>
      <c r="R84" t="n">
        <v>74981.57000000001</v>
      </c>
      <c r="S84" t="n">
        <v>100000</v>
      </c>
      <c r="T84" t="n">
        <v>70000</v>
      </c>
      <c r="U84" t="inlineStr">
        <is>
          <t>EXECUTED</t>
        </is>
      </c>
      <c r="V84" t="n">
        <v>-100</v>
      </c>
      <c r="W84" t="n">
        <v>-111.0848126232742</v>
      </c>
      <c r="X84" s="2">
        <f>HYPERLINK("file:///C:/Users/Hemant/OneDrive/Documents/Projects/kiteconnect_demarker/backtesting/data_st50/FEB10_DYNAMIC/FEB06/OTM/NIFTY2621025600PE_strategy.html", "View")</f>
        <v/>
      </c>
      <c r="AA84" t="inlineStr">
        <is>
          <t>NEUTRAL</t>
        </is>
      </c>
      <c r="AB84" t="inlineStr">
        <is>
          <t>INCLUDED</t>
        </is>
      </c>
      <c r="AC84" t="n">
        <v>-9.5</v>
      </c>
      <c r="AD84" t="inlineStr">
        <is>
          <t>Fixed Stop Loss</t>
        </is>
      </c>
      <c r="AE84" t="n">
        <v>-9.5</v>
      </c>
      <c r="AF84" t="n">
        <v>0</v>
      </c>
      <c r="AG84" t="n">
        <v>-11.24</v>
      </c>
      <c r="AH84" t="n">
        <v>0</v>
      </c>
    </row>
    <row r="85">
      <c r="A85" s="2">
        <f>HYPERLINK("file:///C:/Users/Hemant/OneDrive/Documents/Projects/kiteconnect_demarker/backtesting/data_st50/FEB10_DYNAMIC/FEB06/OTM/NIFTY2621025550CE_strategy.csv", "NIFTY2621025550CE")</f>
        <v/>
      </c>
      <c r="B85" t="n">
        <v>117.81</v>
      </c>
      <c r="C85" t="n">
        <v>-1</v>
      </c>
      <c r="D85" t="n">
        <v>80.28</v>
      </c>
      <c r="E85" t="n">
        <v>60.88</v>
      </c>
      <c r="F85" t="n">
        <v>-1.58</v>
      </c>
      <c r="G85" t="n">
        <v>-46.72</v>
      </c>
      <c r="H85" t="n">
        <v>105.02</v>
      </c>
      <c r="I85" t="n">
        <v>109.07</v>
      </c>
      <c r="J85" t="inlineStr">
        <is>
          <t>2026-02-06</t>
        </is>
      </c>
      <c r="K85" t="inlineStr">
        <is>
          <t>BEARISH</t>
        </is>
      </c>
      <c r="M85" t="inlineStr">
        <is>
          <t>CE</t>
        </is>
      </c>
      <c r="N85" t="inlineStr">
        <is>
          <t>10:18:01</t>
        </is>
      </c>
      <c r="O85" t="inlineStr">
        <is>
          <t>10:29:00</t>
        </is>
      </c>
      <c r="P85" t="n">
        <v>108.6</v>
      </c>
      <c r="Q85" t="n">
        <v>98.28</v>
      </c>
      <c r="R85" t="n">
        <v>81902.5</v>
      </c>
      <c r="S85" t="n">
        <v>100000</v>
      </c>
      <c r="T85" t="n">
        <v>70000</v>
      </c>
      <c r="U85" t="inlineStr">
        <is>
          <t>EXECUTED</t>
        </is>
      </c>
      <c r="V85" t="n">
        <v>-91.22467771639042</v>
      </c>
      <c r="W85" t="n">
        <v>-107.3388581952118</v>
      </c>
      <c r="X85" s="2">
        <f>HYPERLINK("file:///C:/Users/Hemant/OneDrive/Documents/Projects/kiteconnect_demarker/backtesting/data_st50/FEB10_DYNAMIC/FEB06/OTM/NIFTY2621025550CE_strategy.html", "View")</f>
        <v/>
      </c>
      <c r="AA85" t="inlineStr">
        <is>
          <t>NEUTRAL</t>
        </is>
      </c>
      <c r="AB85" t="inlineStr">
        <is>
          <t>INCLUDED</t>
        </is>
      </c>
      <c r="AC85" t="n">
        <v>-9.5</v>
      </c>
      <c r="AD85" t="inlineStr">
        <is>
          <t>Fixed Stop Loss</t>
        </is>
      </c>
      <c r="AE85" t="n">
        <v>-9.5</v>
      </c>
      <c r="AF85" t="n">
        <v>9.529999999999999</v>
      </c>
      <c r="AG85" t="n">
        <v>-7.97</v>
      </c>
      <c r="AH85" t="n">
        <v>0</v>
      </c>
    </row>
    <row r="86">
      <c r="A86" s="2">
        <f>HYPERLINK("file:///C:/Users/Hemant/OneDrive/Documents/Projects/kiteconnect_demarker/backtesting/data_st50/FEB10_DYNAMIC/FEB06/OTM/NIFTY2621025550CE_strategy.csv", "NIFTY2621025550CE")</f>
        <v/>
      </c>
      <c r="B86" t="n">
        <v>129.04</v>
      </c>
      <c r="C86" t="n">
        <v>-1</v>
      </c>
      <c r="D86" t="n">
        <v>38.7</v>
      </c>
      <c r="E86" t="n">
        <v>28.8</v>
      </c>
      <c r="F86" t="n">
        <v>-93.8</v>
      </c>
      <c r="G86" t="n">
        <v>-94.04000000000001</v>
      </c>
      <c r="H86" t="n">
        <v>117.32</v>
      </c>
      <c r="I86" t="n">
        <v>119.02</v>
      </c>
      <c r="J86" t="inlineStr">
        <is>
          <t>2026-02-06</t>
        </is>
      </c>
      <c r="K86" t="inlineStr">
        <is>
          <t>BEARISH</t>
        </is>
      </c>
      <c r="M86" t="inlineStr">
        <is>
          <t>CE</t>
        </is>
      </c>
      <c r="N86" t="inlineStr">
        <is>
          <t>10:06:01</t>
        </is>
      </c>
      <c r="O86" t="inlineStr">
        <is>
          <t>10:11:00</t>
        </is>
      </c>
      <c r="P86" t="n">
        <v>115</v>
      </c>
      <c r="Q86" t="n">
        <v>104.08</v>
      </c>
      <c r="R86" t="n">
        <v>90500</v>
      </c>
      <c r="S86" t="n">
        <v>100000</v>
      </c>
      <c r="T86" t="n">
        <v>70000</v>
      </c>
      <c r="U86" t="inlineStr">
        <is>
          <t>EXECUTED</t>
        </is>
      </c>
      <c r="V86" t="n">
        <v>-100</v>
      </c>
      <c r="W86" t="n">
        <v>-106.504347826087</v>
      </c>
      <c r="X86" s="2">
        <f>HYPERLINK("file:///C:/Users/Hemant/OneDrive/Documents/Projects/kiteconnect_demarker/backtesting/data_st50/FEB10_DYNAMIC/FEB06/OTM/NIFTY2621025550CE_strategy.html", "View")</f>
        <v/>
      </c>
      <c r="AA86" t="inlineStr">
        <is>
          <t>BULLISH</t>
        </is>
      </c>
      <c r="AB86" t="inlineStr">
        <is>
          <t>INCLUDED (HYBRID_NEUTRAL_ZONE)</t>
        </is>
      </c>
      <c r="AC86" t="n">
        <v>-9.5</v>
      </c>
      <c r="AD86" t="inlineStr">
        <is>
          <t>Fixed Stop Loss</t>
        </is>
      </c>
      <c r="AE86" t="n">
        <v>-9.5</v>
      </c>
      <c r="AF86" t="n">
        <v>0</v>
      </c>
      <c r="AG86" t="n">
        <v>-7.48</v>
      </c>
      <c r="AH86" t="n">
        <v>0</v>
      </c>
    </row>
    <row r="87">
      <c r="A87" s="2">
        <f>HYPERLINK("file:///C:/Users/Hemant/OneDrive/Documents/Projects/kiteconnect_demarker/backtesting/data_st50/FEB10_DYNAMIC/FEB09/OTM/NIFTY2621025800PE_strategy.csv", "NIFTY2621025800PE")</f>
        <v/>
      </c>
      <c r="B87" t="n">
        <v>72.02</v>
      </c>
      <c r="C87" t="n">
        <v>-1</v>
      </c>
      <c r="D87" t="n">
        <v>43.25</v>
      </c>
      <c r="E87" t="n">
        <v>28.06</v>
      </c>
      <c r="F87" t="n">
        <v>-73.75</v>
      </c>
      <c r="G87" t="n">
        <v>-78.27</v>
      </c>
      <c r="H87" t="n">
        <v>64.72</v>
      </c>
      <c r="I87" t="n">
        <v>65.84</v>
      </c>
      <c r="J87" t="inlineStr">
        <is>
          <t>2026-02-09</t>
        </is>
      </c>
      <c r="K87" t="inlineStr">
        <is>
          <t>BEARISH</t>
        </is>
      </c>
      <c r="M87" t="inlineStr">
        <is>
          <t>PE</t>
        </is>
      </c>
      <c r="N87" t="inlineStr">
        <is>
          <t>10:24:01</t>
        </is>
      </c>
      <c r="O87" t="inlineStr">
        <is>
          <t>10:33:00</t>
        </is>
      </c>
      <c r="P87" t="n">
        <v>65.45</v>
      </c>
      <c r="Q87" t="n">
        <v>59.23</v>
      </c>
      <c r="R87" t="n">
        <v>81902.5</v>
      </c>
      <c r="S87" t="n">
        <v>100000</v>
      </c>
      <c r="T87" t="n">
        <v>70000</v>
      </c>
      <c r="U87" t="inlineStr">
        <is>
          <t>EXECUTED</t>
        </is>
      </c>
      <c r="V87" t="n">
        <v>-96.60809778456837</v>
      </c>
      <c r="W87" t="n">
        <v>-114.3621084797555</v>
      </c>
      <c r="X87" s="2">
        <f>HYPERLINK("file:///C:/Users/Hemant/OneDrive/Documents/Projects/kiteconnect_demarker/backtesting/data_st50/FEB10_DYNAMIC/FEB09/OTM/NIFTY2621025800PE_strategy.html", "View")</f>
        <v/>
      </c>
      <c r="AA87" t="inlineStr">
        <is>
          <t>NEUTRAL</t>
        </is>
      </c>
      <c r="AB87" t="inlineStr">
        <is>
          <t>INCLUDED</t>
        </is>
      </c>
      <c r="AC87" t="n">
        <v>-9.5</v>
      </c>
      <c r="AD87" t="inlineStr">
        <is>
          <t>Fixed Stop Loss</t>
        </is>
      </c>
      <c r="AE87" t="n">
        <v>-9.5</v>
      </c>
      <c r="AF87" t="n">
        <v>2.22</v>
      </c>
      <c r="AG87" t="n">
        <v>-9.4</v>
      </c>
      <c r="AH87" t="n">
        <v>0</v>
      </c>
    </row>
    <row r="88">
      <c r="A88" s="2">
        <f>HYPERLINK("file:///C:/Users/Hemant/OneDrive/Documents/Projects/kiteconnect_demarker/backtesting/data_st50/FEB10_DYNAMIC/FEB09/OTM/NIFTY2621025800PE_strategy.csv", "NIFTY2621025800PE")</f>
        <v/>
      </c>
      <c r="B88" t="n">
        <v>72.79000000000001</v>
      </c>
      <c r="C88" t="n">
        <v>-1</v>
      </c>
      <c r="D88" t="n">
        <v>66.67</v>
      </c>
      <c r="E88" t="n">
        <v>36.01</v>
      </c>
      <c r="F88" t="n">
        <v>-32.72</v>
      </c>
      <c r="G88" t="n">
        <v>-71.81</v>
      </c>
      <c r="H88" t="n">
        <v>64.76000000000001</v>
      </c>
      <c r="I88" t="n">
        <v>67.37</v>
      </c>
      <c r="J88" t="inlineStr">
        <is>
          <t>2026-02-09</t>
        </is>
      </c>
      <c r="K88" t="inlineStr">
        <is>
          <t>BEARISH</t>
        </is>
      </c>
      <c r="M88" t="inlineStr">
        <is>
          <t>PE</t>
        </is>
      </c>
      <c r="N88" t="inlineStr">
        <is>
          <t>10:07:01</t>
        </is>
      </c>
      <c r="O88" t="inlineStr">
        <is>
          <t>10:21:00</t>
        </is>
      </c>
      <c r="P88" t="n">
        <v>66.5</v>
      </c>
      <c r="Q88" t="n">
        <v>60.18</v>
      </c>
      <c r="R88" t="n">
        <v>90500</v>
      </c>
      <c r="S88" t="n">
        <v>100000</v>
      </c>
      <c r="T88" t="n">
        <v>70000</v>
      </c>
      <c r="U88" t="inlineStr">
        <is>
          <t>EXECUTED</t>
        </is>
      </c>
      <c r="V88" t="n">
        <v>-80.88721804511279</v>
      </c>
      <c r="W88" t="n">
        <v>-114.6917293233083</v>
      </c>
      <c r="X88" s="2">
        <f>HYPERLINK("file:///C:/Users/Hemant/OneDrive/Documents/Projects/kiteconnect_demarker/backtesting/data_st50/FEB10_DYNAMIC/FEB09/OTM/NIFTY2621025800PE_strategy.html", "View")</f>
        <v/>
      </c>
      <c r="AA88" t="inlineStr">
        <is>
          <t>BULLISH</t>
        </is>
      </c>
      <c r="AB88" t="inlineStr">
        <is>
          <t>INCLUDED (HYBRID_NEUTRAL_ZONE)</t>
        </is>
      </c>
      <c r="AC88" t="n">
        <v>-9.5</v>
      </c>
      <c r="AD88" t="inlineStr">
        <is>
          <t>Fixed Stop Loss</t>
        </is>
      </c>
      <c r="AE88" t="n">
        <v>-9.5</v>
      </c>
      <c r="AF88" t="n">
        <v>12.71</v>
      </c>
      <c r="AG88" t="n">
        <v>-9.77</v>
      </c>
      <c r="AH88" t="n">
        <v>0</v>
      </c>
    </row>
    <row r="89">
      <c r="A89" s="2">
        <f>HYPERLINK("file:///C:/Users/Hemant/OneDrive/Documents/Projects/kiteconnect_demarker/backtesting/data_st50/FEB17_DYNAMIC/FEB11/OTM/NIFTY2621725900PE_strategy.csv", "NIFTY2621725900PE")</f>
        <v/>
      </c>
      <c r="B89" t="n">
        <v>99.36</v>
      </c>
      <c r="C89" t="n">
        <v>-1</v>
      </c>
      <c r="D89" t="n">
        <v>58.02</v>
      </c>
      <c r="E89" t="n">
        <v>39.25</v>
      </c>
      <c r="F89" t="n">
        <v>-73.14</v>
      </c>
      <c r="G89" t="n">
        <v>-83.39</v>
      </c>
      <c r="H89" t="n">
        <v>94.23999999999999</v>
      </c>
      <c r="I89" t="n">
        <v>94.83</v>
      </c>
      <c r="J89" t="inlineStr">
        <is>
          <t>2026-02-11</t>
        </is>
      </c>
      <c r="K89" t="inlineStr">
        <is>
          <t>BEARISH</t>
        </is>
      </c>
      <c r="M89" t="inlineStr">
        <is>
          <t>PE</t>
        </is>
      </c>
      <c r="N89" t="inlineStr">
        <is>
          <t>13:24:01</t>
        </is>
      </c>
      <c r="O89" t="inlineStr">
        <is>
          <t>13:28:00</t>
        </is>
      </c>
      <c r="P89" t="n">
        <v>97.5</v>
      </c>
      <c r="Q89" t="n">
        <v>88.23999999999999</v>
      </c>
      <c r="R89" t="n">
        <v>96961.7</v>
      </c>
      <c r="S89" t="n">
        <v>107140</v>
      </c>
      <c r="T89" t="n">
        <v>74998</v>
      </c>
      <c r="U89" t="inlineStr">
        <is>
          <t>EXECUTED</t>
        </is>
      </c>
      <c r="V89" t="n">
        <v>-100</v>
      </c>
      <c r="W89" t="n">
        <v>-108.1025641025641</v>
      </c>
      <c r="X89" s="2">
        <f>HYPERLINK("file:///C:/Users/Hemant/OneDrive/Documents/Projects/kiteconnect_demarker/backtesting/data_st50/FEB17_DYNAMIC/FEB11/OTM/NIFTY2621725900PE_strategy.html", "View")</f>
        <v/>
      </c>
      <c r="AA89" t="inlineStr">
        <is>
          <t>NEUTRAL</t>
        </is>
      </c>
      <c r="AB89" t="inlineStr">
        <is>
          <t>INCLUDED</t>
        </is>
      </c>
      <c r="AC89" t="n">
        <v>-9.5</v>
      </c>
      <c r="AD89" t="inlineStr">
        <is>
          <t>Fixed Stop Loss</t>
        </is>
      </c>
      <c r="AE89" t="n">
        <v>-9.5</v>
      </c>
      <c r="AF89" t="n">
        <v>0</v>
      </c>
      <c r="AG89" t="n">
        <v>-7.9</v>
      </c>
      <c r="AH89" t="n">
        <v>0</v>
      </c>
    </row>
    <row r="90">
      <c r="A90" s="2">
        <f>HYPERLINK("file:///C:/Users/Hemant/OneDrive/Documents/Projects/kiteconnect_demarker/backtesting/data_st50/FEB17_DYNAMIC/FEB12/OTM/NIFTY2621725900CE_strategy.csv", "NIFTY2621725900CE")</f>
        <v/>
      </c>
      <c r="B90" t="n">
        <v>107.72</v>
      </c>
      <c r="C90" t="n">
        <v>-1</v>
      </c>
      <c r="D90" t="n">
        <v>40.34</v>
      </c>
      <c r="E90" t="n">
        <v>34.95</v>
      </c>
      <c r="F90" t="n">
        <v>-48.86</v>
      </c>
      <c r="G90" t="n">
        <v>-85.2</v>
      </c>
      <c r="H90" t="n">
        <v>100.27</v>
      </c>
      <c r="I90" t="n">
        <v>102.07</v>
      </c>
      <c r="J90" t="inlineStr">
        <is>
          <t>2026-02-12</t>
        </is>
      </c>
      <c r="K90" t="inlineStr">
        <is>
          <t>BULLISH</t>
        </is>
      </c>
      <c r="L90" t="inlineStr">
        <is>
          <t>BEARISH</t>
        </is>
      </c>
      <c r="M90" t="inlineStr">
        <is>
          <t>CE</t>
        </is>
      </c>
      <c r="N90" t="inlineStr">
        <is>
          <t>10:46:01</t>
        </is>
      </c>
      <c r="O90" t="inlineStr">
        <is>
          <t>11:18:00</t>
        </is>
      </c>
      <c r="P90" t="n">
        <v>101.5</v>
      </c>
      <c r="Q90" t="n">
        <v>91.86</v>
      </c>
      <c r="R90" t="n">
        <v>93513.64999999999</v>
      </c>
      <c r="S90" t="n">
        <v>103330</v>
      </c>
      <c r="T90" t="n">
        <v>72331</v>
      </c>
      <c r="U90" t="inlineStr">
        <is>
          <t>EXECUTED</t>
        </is>
      </c>
      <c r="V90" t="n">
        <v>-100</v>
      </c>
      <c r="W90" t="n">
        <v>-103.0541871921182</v>
      </c>
      <c r="X90" s="2">
        <f>HYPERLINK("file:///C:/Users/Hemant/OneDrive/Documents/Projects/kiteconnect_demarker/backtesting/data_st50/FEB17_DYNAMIC/FEB12/OTM/NIFTY2621725900CE_strategy.html", "View")</f>
        <v/>
      </c>
      <c r="AA90" t="inlineStr">
        <is>
          <t>BEARISH</t>
        </is>
      </c>
      <c r="AB90" t="inlineStr">
        <is>
          <t>INCLUDED (HYBRID_NEUTRAL_ZONE)</t>
        </is>
      </c>
      <c r="AC90" t="n">
        <v>-9.5</v>
      </c>
      <c r="AD90" t="inlineStr">
        <is>
          <t>Fixed Stop Loss</t>
        </is>
      </c>
      <c r="AE90" t="n">
        <v>-9.5</v>
      </c>
      <c r="AF90" t="n">
        <v>0</v>
      </c>
      <c r="AG90" t="n">
        <v>-3.1</v>
      </c>
      <c r="AH90" t="n">
        <v>0</v>
      </c>
    </row>
    <row r="91">
      <c r="A91" s="2">
        <f>HYPERLINK("file:///C:/Users/Hemant/OneDrive/Documents/Projects/kiteconnect_demarker/backtesting/data_st50/FEB17_DYNAMIC/FEB16/OTM/NIFTY2621725550CE_strategy.csv", "NIFTY2621725550CE")</f>
        <v/>
      </c>
      <c r="B91" t="n">
        <v>87.66</v>
      </c>
      <c r="C91" t="n">
        <v>-1</v>
      </c>
      <c r="D91" t="n">
        <v>28.83</v>
      </c>
      <c r="E91" t="n">
        <v>22.01</v>
      </c>
      <c r="F91" t="n">
        <v>-73.8</v>
      </c>
      <c r="G91" t="n">
        <v>-74.73</v>
      </c>
      <c r="H91" t="n">
        <v>78.19</v>
      </c>
      <c r="I91" t="n">
        <v>78.7</v>
      </c>
      <c r="J91" t="inlineStr">
        <is>
          <t>2026-02-16</t>
        </is>
      </c>
      <c r="K91" t="inlineStr">
        <is>
          <t>BULLISH</t>
        </is>
      </c>
      <c r="L91" t="inlineStr">
        <is>
          <t>BULLISH</t>
        </is>
      </c>
      <c r="M91" t="inlineStr">
        <is>
          <t>CE</t>
        </is>
      </c>
      <c r="N91" t="inlineStr">
        <is>
          <t>10:53:01</t>
        </is>
      </c>
      <c r="O91" t="inlineStr">
        <is>
          <t>11:01:00</t>
        </is>
      </c>
      <c r="P91" t="n">
        <v>75.95</v>
      </c>
      <c r="Q91" t="n">
        <v>68.73</v>
      </c>
      <c r="R91" t="n">
        <v>105085.63</v>
      </c>
      <c r="S91" t="n">
        <v>141790</v>
      </c>
      <c r="T91" t="n">
        <v>99253</v>
      </c>
      <c r="U91" t="inlineStr">
        <is>
          <t>EXECUTED</t>
        </is>
      </c>
      <c r="V91" t="n">
        <v>-94.28571428571428</v>
      </c>
      <c r="W91" t="n">
        <v>-106.754443712969</v>
      </c>
      <c r="X91" s="2">
        <f>HYPERLINK("file:///C:/Users/Hemant/OneDrive/Documents/Projects/kiteconnect_demarker/backtesting/data_st50/FEB17_DYNAMIC/FEB16/OTM/NIFTY2621725550CE_strategy.html", "View")</f>
        <v/>
      </c>
      <c r="AA91" t="inlineStr">
        <is>
          <t>BULLISH</t>
        </is>
      </c>
      <c r="AB91" t="inlineStr">
        <is>
          <t>INCLUDED (HYBRID_NEUTRAL_ZONE)</t>
        </is>
      </c>
      <c r="AC91" t="n">
        <v>-9.51</v>
      </c>
      <c r="AD91" t="inlineStr">
        <is>
          <t>Fixed Stop Loss</t>
        </is>
      </c>
      <c r="AE91" t="n">
        <v>-9.51</v>
      </c>
      <c r="AF91" t="n">
        <v>4.34</v>
      </c>
      <c r="AG91" t="n">
        <v>-5.13</v>
      </c>
      <c r="AH91" t="n">
        <v>0</v>
      </c>
    </row>
    <row r="92">
      <c r="A92" s="2">
        <f>HYPERLINK("file:///C:/Users/Hemant/OneDrive/Documents/Projects/kiteconnect_demarker/backtesting/data_st50/FEB17_DYNAMIC/FEB16/OTM/NIFTY2621725500PE_strategy.csv", "NIFTY2621725500PE")</f>
        <v/>
      </c>
      <c r="B92" t="n">
        <v>73.45</v>
      </c>
      <c r="C92" t="n">
        <v>-1</v>
      </c>
      <c r="D92" t="n">
        <v>91.88</v>
      </c>
      <c r="E92" t="n">
        <v>68.98999999999999</v>
      </c>
      <c r="F92" t="n">
        <v>-17.45</v>
      </c>
      <c r="G92" t="n">
        <v>-17.45</v>
      </c>
      <c r="H92" t="n">
        <v>67.47</v>
      </c>
      <c r="I92" t="n">
        <v>67.45</v>
      </c>
      <c r="J92" t="inlineStr">
        <is>
          <t>2026-02-16</t>
        </is>
      </c>
      <c r="K92" t="inlineStr">
        <is>
          <t>BULLISH</t>
        </is>
      </c>
      <c r="L92" t="inlineStr">
        <is>
          <t>BEARISH</t>
        </is>
      </c>
      <c r="M92" t="inlineStr">
        <is>
          <t>PE</t>
        </is>
      </c>
      <c r="N92" t="inlineStr">
        <is>
          <t>10:50:01</t>
        </is>
      </c>
      <c r="O92" t="inlineStr">
        <is>
          <t>11:04:00</t>
        </is>
      </c>
      <c r="P92" t="n">
        <v>70.2</v>
      </c>
      <c r="Q92" t="n">
        <v>63.53</v>
      </c>
      <c r="R92" t="n">
        <v>95102.5</v>
      </c>
      <c r="S92" t="n">
        <v>141790</v>
      </c>
      <c r="T92" t="n">
        <v>99253</v>
      </c>
      <c r="U92" t="inlineStr">
        <is>
          <t>EXECUTED</t>
        </is>
      </c>
      <c r="V92" t="n">
        <v>-90.66951566951568</v>
      </c>
      <c r="W92" t="n">
        <v>-115.8262108262108</v>
      </c>
      <c r="X92" s="2">
        <f>HYPERLINK("file:///C:/Users/Hemant/OneDrive/Documents/Projects/kiteconnect_demarker/backtesting/data_st50/FEB17_DYNAMIC/FEB16/OTM/NIFTY2621725500PE_strategy.html", "View")</f>
        <v/>
      </c>
      <c r="AA92" t="inlineStr">
        <is>
          <t>BEARISH</t>
        </is>
      </c>
      <c r="AB92" t="inlineStr">
        <is>
          <t>INCLUDED (HYBRID_NEUTRAL_ZONE)</t>
        </is>
      </c>
      <c r="AC92" t="n">
        <v>-9.5</v>
      </c>
      <c r="AD92" t="inlineStr">
        <is>
          <t>Fixed SL Exit</t>
        </is>
      </c>
      <c r="AE92" t="n">
        <v>-9.5</v>
      </c>
      <c r="AF92" t="n">
        <v>6.55</v>
      </c>
      <c r="AG92" t="n">
        <v>-11.11</v>
      </c>
      <c r="AH92" t="n">
        <v>0</v>
      </c>
    </row>
    <row r="93">
      <c r="A93" s="2">
        <f>HYPERLINK("file:///C:/Users/Hemant/OneDrive/Documents/Projects/kiteconnect_demarker/backtesting/data_st50/FEB17_DYNAMIC/FEB16/OTM/NIFTY2621725550CE_strategy.csv", "NIFTY2621725550CE")</f>
        <v/>
      </c>
      <c r="B93" t="n">
        <v>91.27</v>
      </c>
      <c r="C93" t="n">
        <v>-1</v>
      </c>
      <c r="D93" t="n">
        <v>49.32</v>
      </c>
      <c r="E93" t="n">
        <v>36.44</v>
      </c>
      <c r="F93" t="n">
        <v>-52.34</v>
      </c>
      <c r="G93" t="n">
        <v>-72.43000000000001</v>
      </c>
      <c r="H93" t="n">
        <v>80.98999999999999</v>
      </c>
      <c r="I93" t="n">
        <v>81.16</v>
      </c>
      <c r="J93" t="inlineStr">
        <is>
          <t>2026-02-16</t>
        </is>
      </c>
      <c r="K93" t="inlineStr">
        <is>
          <t>BULLISH</t>
        </is>
      </c>
      <c r="L93" t="inlineStr">
        <is>
          <t>BULLISH</t>
        </is>
      </c>
      <c r="M93" t="inlineStr">
        <is>
          <t>CE</t>
        </is>
      </c>
      <c r="N93" t="inlineStr">
        <is>
          <t>10:48:01</t>
        </is>
      </c>
      <c r="O93" t="inlineStr">
        <is>
          <t>10:49:00</t>
        </is>
      </c>
      <c r="P93" t="n">
        <v>84.45</v>
      </c>
      <c r="Q93" t="n">
        <v>76.43000000000001</v>
      </c>
      <c r="R93" t="n">
        <v>116129.55</v>
      </c>
      <c r="S93" t="n">
        <v>141790</v>
      </c>
      <c r="T93" t="n">
        <v>99253</v>
      </c>
      <c r="U93" t="inlineStr">
        <is>
          <t>EXECUTED</t>
        </is>
      </c>
      <c r="V93" t="n">
        <v>-100</v>
      </c>
      <c r="W93" t="n">
        <v>-113.392539964476</v>
      </c>
      <c r="X93" s="2">
        <f>HYPERLINK("file:///C:/Users/Hemant/OneDrive/Documents/Projects/kiteconnect_demarker/backtesting/data_st50/FEB17_DYNAMIC/FEB16/OTM/NIFTY2621725550CE_strategy.html", "View")</f>
        <v/>
      </c>
      <c r="AA93" t="inlineStr">
        <is>
          <t>BEARISH</t>
        </is>
      </c>
      <c r="AB93" t="inlineStr">
        <is>
          <t>INCLUDED (HYBRID_NEUTRAL_ZONE)</t>
        </is>
      </c>
      <c r="AC93" t="n">
        <v>-9.5</v>
      </c>
      <c r="AD93" t="inlineStr">
        <is>
          <t>Fixed Stop Loss</t>
        </is>
      </c>
      <c r="AE93" t="n">
        <v>-9.5</v>
      </c>
      <c r="AF93" t="n">
        <v>0</v>
      </c>
      <c r="AG93" t="n">
        <v>-11.31</v>
      </c>
      <c r="AH93" t="n">
        <v>0</v>
      </c>
    </row>
    <row r="94">
      <c r="A94" s="2">
        <f>HYPERLINK("file:///C:/Users/Hemant/OneDrive/Documents/Projects/kiteconnect_demarker/backtesting/data_st50/FEB17_DYNAMIC/FEB16/OTM/NIFTY2621725550CE_strategy.csv", "NIFTY2621725550CE")</f>
        <v/>
      </c>
      <c r="B94" t="n">
        <v>94.31</v>
      </c>
      <c r="C94" t="n">
        <v>-1</v>
      </c>
      <c r="D94" t="n">
        <v>36.81</v>
      </c>
      <c r="E94" t="n">
        <v>29.15</v>
      </c>
      <c r="F94" t="n">
        <v>-54.89</v>
      </c>
      <c r="G94" t="n">
        <v>-69.31999999999999</v>
      </c>
      <c r="H94" t="n">
        <v>81.08</v>
      </c>
      <c r="I94" t="n">
        <v>82.77</v>
      </c>
      <c r="J94" t="inlineStr">
        <is>
          <t>2026-02-16</t>
        </is>
      </c>
      <c r="K94" t="inlineStr">
        <is>
          <t>BULLISH</t>
        </is>
      </c>
      <c r="L94" t="inlineStr">
        <is>
          <t>BULLISH</t>
        </is>
      </c>
      <c r="M94" t="inlineStr">
        <is>
          <t>CE</t>
        </is>
      </c>
      <c r="N94" t="inlineStr">
        <is>
          <t>10:34:01</t>
        </is>
      </c>
      <c r="O94" t="inlineStr">
        <is>
          <t>10:38:00</t>
        </is>
      </c>
      <c r="P94" t="n">
        <v>85.5</v>
      </c>
      <c r="Q94" t="n">
        <v>77.38</v>
      </c>
      <c r="R94" t="n">
        <v>128319.95</v>
      </c>
      <c r="S94" t="n">
        <v>141790</v>
      </c>
      <c r="T94" t="n">
        <v>99253</v>
      </c>
      <c r="U94" t="inlineStr">
        <is>
          <t>EXECUTED</t>
        </is>
      </c>
      <c r="V94" t="n">
        <v>-100</v>
      </c>
      <c r="W94" t="n">
        <v>-111.766081871345</v>
      </c>
      <c r="X94" s="2">
        <f>HYPERLINK("file:///C:/Users/Hemant/OneDrive/Documents/Projects/kiteconnect_demarker/backtesting/data_st50/FEB17_DYNAMIC/FEB16/OTM/NIFTY2621725550CE_strategy.html", "View")</f>
        <v/>
      </c>
      <c r="AA94" t="inlineStr">
        <is>
          <t>BEARISH</t>
        </is>
      </c>
      <c r="AB94" t="inlineStr">
        <is>
          <t>INCLUDED (HYBRID_NEUTRAL_ZONE)</t>
        </is>
      </c>
      <c r="AC94" t="n">
        <v>-9.5</v>
      </c>
      <c r="AD94" t="inlineStr">
        <is>
          <t>Fixed Stop Loss</t>
        </is>
      </c>
      <c r="AE94" t="n">
        <v>-9.5</v>
      </c>
      <c r="AF94" t="n">
        <v>0</v>
      </c>
      <c r="AG94" t="n">
        <v>-10.06</v>
      </c>
      <c r="AH94" t="n">
        <v>0</v>
      </c>
    </row>
    <row r="95">
      <c r="A95" s="2">
        <f>HYPERLINK("file:///C:/Users/Hemant/OneDrive/Documents/Projects/kiteconnect_demarker/backtesting/data_st50/FEB24_DYNAMIC/FEB18/OTM/NIFTY26FEB25700PE_strategy.csv", "NIFTY26FEB25700PE")</f>
        <v/>
      </c>
      <c r="B95" t="n">
        <v>109.67</v>
      </c>
      <c r="C95" t="n">
        <v>-1</v>
      </c>
      <c r="D95" t="n">
        <v>48.17</v>
      </c>
      <c r="E95" t="n">
        <v>35.94</v>
      </c>
      <c r="F95" t="n">
        <v>-63.75</v>
      </c>
      <c r="G95" t="n">
        <v>-71.11</v>
      </c>
      <c r="H95" t="n">
        <v>106.38</v>
      </c>
      <c r="I95" t="n">
        <v>106.88</v>
      </c>
      <c r="J95" t="inlineStr">
        <is>
          <t>2026-02-18</t>
        </is>
      </c>
      <c r="K95" t="inlineStr">
        <is>
          <t>BULLISH</t>
        </is>
      </c>
      <c r="M95" t="inlineStr">
        <is>
          <t>PE</t>
        </is>
      </c>
      <c r="N95" t="inlineStr">
        <is>
          <t>13:04:01</t>
        </is>
      </c>
      <c r="O95" t="inlineStr">
        <is>
          <t>13:15:00</t>
        </is>
      </c>
      <c r="P95" t="n">
        <v>108.2</v>
      </c>
      <c r="Q95" t="n">
        <v>101.55</v>
      </c>
      <c r="R95" t="n">
        <v>120775.57</v>
      </c>
      <c r="S95" t="n">
        <v>128690</v>
      </c>
      <c r="T95" t="n">
        <v>90083</v>
      </c>
      <c r="U95" t="inlineStr">
        <is>
          <t>EXECUTED</t>
        </is>
      </c>
      <c r="V95" t="n">
        <v>-97.09796672828097</v>
      </c>
      <c r="W95" t="n">
        <v>-107.6432532347505</v>
      </c>
      <c r="X95" s="2">
        <f>HYPERLINK("file:///C:/Users/Hemant/OneDrive/Documents/Projects/kiteconnect_demarker/backtesting/data_st50/FEB24_DYNAMIC/FEB18/OTM/NIFTY26FEB25700PE_strategy.html", "View")</f>
        <v/>
      </c>
      <c r="AA95" t="inlineStr">
        <is>
          <t>BEARISH</t>
        </is>
      </c>
      <c r="AB95" t="inlineStr">
        <is>
          <t>INCLUDED (HYBRID_NEUTRAL_ZONE)</t>
        </is>
      </c>
      <c r="AC95" t="n">
        <v>-6.15</v>
      </c>
      <c r="AD95" t="inlineStr">
        <is>
          <t>SuperTrend Stop Loss Exit</t>
        </is>
      </c>
      <c r="AE95" t="n">
        <v>-6.15</v>
      </c>
      <c r="AF95" t="n">
        <v>3.14</v>
      </c>
      <c r="AG95" t="n">
        <v>-8.27</v>
      </c>
      <c r="AH95" t="n">
        <v>0</v>
      </c>
    </row>
    <row r="96">
      <c r="A96" s="2">
        <f>HYPERLINK("file:///C:/Users/Hemant/OneDrive/Documents/Projects/kiteconnect_demarker/backtesting/data_st50/FEB24_DYNAMIC/FEB19/OTM/NIFTY26FEB25800CE_strategy.csv", "NIFTY26FEB25800CE")</f>
        <v/>
      </c>
      <c r="B96" t="n">
        <v>113.21</v>
      </c>
      <c r="C96" t="n">
        <v>-1</v>
      </c>
      <c r="D96" t="n">
        <v>73.15000000000001</v>
      </c>
      <c r="E96" t="n">
        <v>54.81</v>
      </c>
      <c r="F96" t="n">
        <v>-1.37</v>
      </c>
      <c r="G96" t="n">
        <v>-58.14</v>
      </c>
      <c r="H96" t="n">
        <v>105.99</v>
      </c>
      <c r="I96" t="n">
        <v>106.82</v>
      </c>
      <c r="J96" t="inlineStr">
        <is>
          <t>2026-02-19</t>
        </is>
      </c>
      <c r="K96" t="inlineStr">
        <is>
          <t>BEARISH</t>
        </is>
      </c>
      <c r="L96" t="inlineStr">
        <is>
          <t>BEARISH</t>
        </is>
      </c>
      <c r="M96" t="inlineStr">
        <is>
          <t>CE</t>
        </is>
      </c>
      <c r="N96" t="inlineStr">
        <is>
          <t>10:23:01</t>
        </is>
      </c>
      <c r="O96" t="inlineStr">
        <is>
          <t>10:37:00</t>
        </is>
      </c>
      <c r="P96" t="n">
        <v>105.8</v>
      </c>
      <c r="Q96" t="n">
        <v>98.15000000000001</v>
      </c>
      <c r="R96" t="n">
        <v>88943.3</v>
      </c>
      <c r="S96" t="n">
        <v>105939.3</v>
      </c>
      <c r="T96" t="n">
        <v>74157.50999999999</v>
      </c>
      <c r="U96" t="inlineStr">
        <is>
          <t>EXECUTED</t>
        </is>
      </c>
      <c r="V96" t="n">
        <v>-96.78638941398864</v>
      </c>
      <c r="W96" t="n">
        <v>-103.6672967863894</v>
      </c>
      <c r="X96" s="2">
        <f>HYPERLINK("file:///C:/Users/Hemant/OneDrive/Documents/Projects/kiteconnect_demarker/backtesting/data_st50/FEB24_DYNAMIC/FEB19/OTM/NIFTY26FEB25800CE_strategy.html", "View")</f>
        <v/>
      </c>
      <c r="AA96" t="inlineStr">
        <is>
          <t>BEARISH</t>
        </is>
      </c>
      <c r="AB96" t="inlineStr">
        <is>
          <t>INCLUDED (HYBRID_NEUTRAL_ZONE)</t>
        </is>
      </c>
      <c r="AC96" t="n">
        <v>-7.23</v>
      </c>
      <c r="AD96" t="inlineStr">
        <is>
          <t>Fixed Stop Loss</t>
        </is>
      </c>
      <c r="AE96" t="n">
        <v>-7.23</v>
      </c>
      <c r="AF96" t="n">
        <v>3.4</v>
      </c>
      <c r="AG96" t="n">
        <v>-3.88</v>
      </c>
      <c r="AH96" t="n">
        <v>0</v>
      </c>
    </row>
    <row r="97">
      <c r="A97" s="2">
        <f>HYPERLINK("file:///C:/Users/Hemant/OneDrive/Documents/Projects/kiteconnect_demarker/backtesting/data_st50/FEB24_DYNAMIC/FEB19/OTM/NIFTY26FEB25800CE_strategy.csv", "NIFTY26FEB25800CE")</f>
        <v/>
      </c>
      <c r="B97" t="n">
        <v>121.33</v>
      </c>
      <c r="C97" t="n">
        <v>-1</v>
      </c>
      <c r="D97" t="n">
        <v>61.78</v>
      </c>
      <c r="E97" t="n">
        <v>30.5</v>
      </c>
      <c r="F97" t="n">
        <v>-4.47</v>
      </c>
      <c r="G97" t="n">
        <v>-54.88</v>
      </c>
      <c r="H97" t="n">
        <v>113.92</v>
      </c>
      <c r="I97" t="n">
        <v>114.38</v>
      </c>
      <c r="J97" t="inlineStr">
        <is>
          <t>2026-02-19</t>
        </is>
      </c>
      <c r="K97" t="inlineStr">
        <is>
          <t>BEARISH</t>
        </is>
      </c>
      <c r="L97" t="inlineStr">
        <is>
          <t>BULLISH</t>
        </is>
      </c>
      <c r="M97" t="inlineStr">
        <is>
          <t>CE</t>
        </is>
      </c>
      <c r="N97" t="inlineStr">
        <is>
          <t>10:04:01</t>
        </is>
      </c>
      <c r="O97" t="inlineStr">
        <is>
          <t>10:14:00</t>
        </is>
      </c>
      <c r="P97" t="n">
        <v>115.05</v>
      </c>
      <c r="Q97" t="n">
        <v>104.12</v>
      </c>
      <c r="R97" t="n">
        <v>95875.07000000001</v>
      </c>
      <c r="S97" t="n">
        <v>105939.3</v>
      </c>
      <c r="T97" t="n">
        <v>74157.50999999999</v>
      </c>
      <c r="U97" t="inlineStr">
        <is>
          <t>EXECUTED</t>
        </is>
      </c>
      <c r="V97" t="n">
        <v>-97.08822251195133</v>
      </c>
      <c r="W97" t="n">
        <v>-104.9109083007388</v>
      </c>
      <c r="X97" s="2">
        <f>HYPERLINK("file:///C:/Users/Hemant/OneDrive/Documents/Projects/kiteconnect_demarker/backtesting/data_st50/FEB24_DYNAMIC/FEB19/OTM/NIFTY26FEB25800CE_strategy.html", "View")</f>
        <v/>
      </c>
      <c r="AA97" t="inlineStr">
        <is>
          <t>NEUTRAL</t>
        </is>
      </c>
      <c r="AB97" t="inlineStr">
        <is>
          <t>INCLUDED</t>
        </is>
      </c>
      <c r="AC97" t="n">
        <v>-9.5</v>
      </c>
      <c r="AD97" t="inlineStr">
        <is>
          <t>Fixed Stop Loss</t>
        </is>
      </c>
      <c r="AE97" t="n">
        <v>-9.5</v>
      </c>
      <c r="AF97" t="n">
        <v>3.35</v>
      </c>
      <c r="AG97" t="n">
        <v>-5.65</v>
      </c>
      <c r="AH97" t="n">
        <v>0</v>
      </c>
    </row>
    <row r="98">
      <c r="A98" s="2">
        <f>HYPERLINK("file:///C:/Users/Hemant/OneDrive/Documents/Projects/kiteconnect_demarker/backtesting/data_st50/FEB24_DYNAMIC/FEB19/OTM/NIFTY26FEB25900CE_strategy.csv", "NIFTY26FEB25900CE")</f>
        <v/>
      </c>
      <c r="B98" t="n">
        <v>103.46</v>
      </c>
      <c r="C98" t="n">
        <v>-1</v>
      </c>
      <c r="D98" t="n">
        <v>55.28</v>
      </c>
      <c r="E98" t="n">
        <v>31.18</v>
      </c>
      <c r="F98" t="n">
        <v>-69.06999999999999</v>
      </c>
      <c r="G98" t="n">
        <v>-69.06999999999999</v>
      </c>
      <c r="H98" t="n">
        <v>95.55</v>
      </c>
      <c r="I98" t="n">
        <v>95.58</v>
      </c>
      <c r="J98" t="inlineStr">
        <is>
          <t>2026-02-19</t>
        </is>
      </c>
      <c r="K98" t="inlineStr">
        <is>
          <t>BULLISH</t>
        </is>
      </c>
      <c r="L98" t="inlineStr">
        <is>
          <t>BULLISH</t>
        </is>
      </c>
      <c r="M98" t="inlineStr">
        <is>
          <t>CE</t>
        </is>
      </c>
      <c r="N98" t="inlineStr">
        <is>
          <t>09:18:01</t>
        </is>
      </c>
      <c r="O98" t="inlineStr">
        <is>
          <t>09:25:00</t>
        </is>
      </c>
      <c r="P98" t="n">
        <v>100.15</v>
      </c>
      <c r="Q98" t="n">
        <v>90.64</v>
      </c>
      <c r="R98" t="n">
        <v>90500</v>
      </c>
      <c r="S98" t="n">
        <v>100000</v>
      </c>
      <c r="T98" t="n">
        <v>70000</v>
      </c>
      <c r="U98" t="inlineStr">
        <is>
          <t>EXECUTED</t>
        </is>
      </c>
      <c r="V98" t="n">
        <v>-95.96605092361457</v>
      </c>
      <c r="W98" t="n">
        <v>-112.0119820269596</v>
      </c>
      <c r="X98" s="2">
        <f>HYPERLINK("file:///C:/Users/Hemant/OneDrive/Documents/Projects/kiteconnect_demarker/backtesting/data_st50/FEB24_DYNAMIC/FEB19/OTM/NIFTY26FEB25900CE_strategy.html", "View")</f>
        <v/>
      </c>
      <c r="AA98" t="inlineStr">
        <is>
          <t>NEUTRAL</t>
        </is>
      </c>
      <c r="AB98" t="inlineStr">
        <is>
          <t>INCLUDED</t>
        </is>
      </c>
      <c r="AC98" t="n">
        <v>-9.5</v>
      </c>
      <c r="AD98" t="inlineStr">
        <is>
          <t>Fixed Stop Loss</t>
        </is>
      </c>
      <c r="AE98" t="n">
        <v>-9.5</v>
      </c>
      <c r="AF98" t="n">
        <v>4.04</v>
      </c>
      <c r="AG98" t="n">
        <v>-12.03</v>
      </c>
      <c r="AH98" t="n">
        <v>0</v>
      </c>
    </row>
    <row r="99">
      <c r="A99" s="2">
        <f>HYPERLINK("file:///C:/Users/Hemant/OneDrive/Documents/Projects/kiteconnect_demarker/backtesting/data_st50/FEB24_DYNAMIC/FEB20/OTM/NIFTY26FEB25600PE_strategy.csv", "NIFTY26FEB25600PE")</f>
        <v/>
      </c>
      <c r="B99" t="n">
        <v>130.75</v>
      </c>
      <c r="C99" t="n">
        <v>-1</v>
      </c>
      <c r="D99" t="n">
        <v>55.16</v>
      </c>
      <c r="E99" t="n">
        <v>27.45</v>
      </c>
      <c r="F99" t="n">
        <v>-5.09</v>
      </c>
      <c r="G99" t="n">
        <v>-53.18</v>
      </c>
      <c r="H99" t="n">
        <v>122.5</v>
      </c>
      <c r="I99" t="n">
        <v>123.1</v>
      </c>
      <c r="J99" t="inlineStr">
        <is>
          <t>2026-02-20</t>
        </is>
      </c>
      <c r="K99" t="inlineStr">
        <is>
          <t>BULLISH</t>
        </is>
      </c>
      <c r="L99" t="inlineStr">
        <is>
          <t>BULLISH</t>
        </is>
      </c>
      <c r="M99" t="inlineStr">
        <is>
          <t>PE</t>
        </is>
      </c>
      <c r="N99" t="inlineStr">
        <is>
          <t>11:48:01</t>
        </is>
      </c>
      <c r="O99" t="inlineStr">
        <is>
          <t>11:58:00</t>
        </is>
      </c>
      <c r="P99" t="n">
        <v>120</v>
      </c>
      <c r="Q99" t="n">
        <v>116.87</v>
      </c>
      <c r="R99" t="n">
        <v>82565.71000000001</v>
      </c>
      <c r="S99" t="n">
        <v>101990</v>
      </c>
      <c r="T99" t="n">
        <v>71393</v>
      </c>
      <c r="U99" t="inlineStr">
        <is>
          <t>EXECUTED</t>
        </is>
      </c>
      <c r="V99" t="n">
        <v>-90.31666666666666</v>
      </c>
      <c r="W99" t="n">
        <v>-105.5583333333333</v>
      </c>
      <c r="X99" s="2">
        <f>HYPERLINK("file:///C:/Users/Hemant/OneDrive/Documents/Projects/kiteconnect_demarker/backtesting/data_st50/FEB24_DYNAMIC/FEB20/OTM/NIFTY26FEB25600PE_strategy.html", "View")</f>
        <v/>
      </c>
      <c r="AA99" t="inlineStr">
        <is>
          <t>BULLISH</t>
        </is>
      </c>
      <c r="AB99" t="inlineStr">
        <is>
          <t>INCLUDED (HYBRID_NEUTRAL_ZONE)</t>
        </is>
      </c>
      <c r="AC99" t="n">
        <v>-2.61</v>
      </c>
      <c r="AD99" t="inlineStr">
        <is>
          <t>SuperTrend Stop Loss Exit</t>
        </is>
      </c>
      <c r="AE99" t="n">
        <v>-2.61</v>
      </c>
      <c r="AF99" t="n">
        <v>11.62</v>
      </c>
      <c r="AG99" t="n">
        <v>-6.67</v>
      </c>
      <c r="AH99" t="n">
        <v>0</v>
      </c>
    </row>
    <row r="100">
      <c r="A100" s="2">
        <f>HYPERLINK("file:///C:/Users/Hemant/OneDrive/Documents/Projects/kiteconnect_demarker/backtesting/data_st50/FEB24_DYNAMIC/FEB20/OTM/NIFTY26FEB25550PE_strategy.csv", "NIFTY26FEB25550PE")</f>
        <v/>
      </c>
      <c r="B100" t="n">
        <v>120.02</v>
      </c>
      <c r="C100" t="n">
        <v>-1</v>
      </c>
      <c r="D100" t="n">
        <v>31.23</v>
      </c>
      <c r="E100" t="n">
        <v>23.55</v>
      </c>
      <c r="F100" t="n">
        <v>-63.33</v>
      </c>
      <c r="G100" t="n">
        <v>-63.33</v>
      </c>
      <c r="H100" t="n">
        <v>112.8</v>
      </c>
      <c r="I100" t="n">
        <v>113.61</v>
      </c>
      <c r="J100" t="inlineStr">
        <is>
          <t>2026-02-20</t>
        </is>
      </c>
      <c r="K100" t="inlineStr">
        <is>
          <t>BULLISH</t>
        </is>
      </c>
      <c r="L100" t="inlineStr">
        <is>
          <t>BULLISH</t>
        </is>
      </c>
      <c r="M100" t="inlineStr">
        <is>
          <t>PE</t>
        </is>
      </c>
      <c r="N100" t="inlineStr">
        <is>
          <t>11:33:01</t>
        </is>
      </c>
      <c r="O100" t="inlineStr">
        <is>
          <t>11:38:00</t>
        </is>
      </c>
      <c r="P100" t="n">
        <v>112.75</v>
      </c>
      <c r="Q100" t="n">
        <v>102.04</v>
      </c>
      <c r="R100" t="n">
        <v>84778.42</v>
      </c>
      <c r="S100" t="n">
        <v>101990</v>
      </c>
      <c r="T100" t="n">
        <v>71393</v>
      </c>
      <c r="U100" t="inlineStr">
        <is>
          <t>EXECUTED</t>
        </is>
      </c>
      <c r="V100" t="n">
        <v>-100</v>
      </c>
      <c r="W100" t="n">
        <v>-107.2727272727273</v>
      </c>
      <c r="X100" s="2">
        <f>HYPERLINK("file:///C:/Users/Hemant/OneDrive/Documents/Projects/kiteconnect_demarker/backtesting/data_st50/FEB24_DYNAMIC/FEB20/OTM/NIFTY26FEB25550PE_strategy.html", "View")</f>
        <v/>
      </c>
      <c r="AA100" t="inlineStr">
        <is>
          <t>BULLISH</t>
        </is>
      </c>
      <c r="AB100" t="inlineStr">
        <is>
          <t>INCLUDED (HYBRID_NEUTRAL_ZONE)</t>
        </is>
      </c>
      <c r="AC100" t="n">
        <v>-9.5</v>
      </c>
      <c r="AD100" t="inlineStr">
        <is>
          <t>Fixed Stop Loss</t>
        </is>
      </c>
      <c r="AE100" t="n">
        <v>-9.5</v>
      </c>
      <c r="AF100" t="n">
        <v>0</v>
      </c>
      <c r="AG100" t="n">
        <v>-8.199999999999999</v>
      </c>
      <c r="AH100" t="n">
        <v>0</v>
      </c>
    </row>
    <row r="101">
      <c r="A101" s="2">
        <f>HYPERLINK("file:///C:/Users/Hemant/OneDrive/Documents/Projects/kiteconnect_demarker/backtesting/data_st50/FEB24_DYNAMIC/FEB20/OTM/NIFTY26FEB25550PE_strategy.csv", "NIFTY26FEB25550PE")</f>
        <v/>
      </c>
      <c r="B101" t="n">
        <v>120.59</v>
      </c>
      <c r="C101" t="n">
        <v>-1</v>
      </c>
      <c r="D101" t="n">
        <v>87.36</v>
      </c>
      <c r="E101" t="n">
        <v>64.41</v>
      </c>
      <c r="F101" t="n">
        <v>-12.67</v>
      </c>
      <c r="G101" t="n">
        <v>-31.17</v>
      </c>
      <c r="H101" t="n">
        <v>112.39</v>
      </c>
      <c r="I101" t="n">
        <v>112.45</v>
      </c>
      <c r="J101" t="inlineStr">
        <is>
          <t>2026-02-20</t>
        </is>
      </c>
      <c r="K101" t="inlineStr">
        <is>
          <t>BULLISH</t>
        </is>
      </c>
      <c r="L101" t="inlineStr">
        <is>
          <t>BULLISH</t>
        </is>
      </c>
      <c r="M101" t="inlineStr">
        <is>
          <t>PE</t>
        </is>
      </c>
      <c r="N101" t="inlineStr">
        <is>
          <t>11:03:01</t>
        </is>
      </c>
      <c r="O101" t="inlineStr">
        <is>
          <t>11:28:00</t>
        </is>
      </c>
      <c r="P101" t="n">
        <v>116.5</v>
      </c>
      <c r="Q101" t="n">
        <v>107.01</v>
      </c>
      <c r="R101" t="n">
        <v>93677.82000000001</v>
      </c>
      <c r="S101" t="n">
        <v>101990</v>
      </c>
      <c r="T101" t="n">
        <v>71393</v>
      </c>
      <c r="U101" t="inlineStr">
        <is>
          <t>EXECUTED</t>
        </is>
      </c>
      <c r="V101" t="n">
        <v>-95.21030042918454</v>
      </c>
      <c r="W101" t="n">
        <v>-106.0772532188841</v>
      </c>
      <c r="X101" s="2">
        <f>HYPERLINK("file:///C:/Users/Hemant/OneDrive/Documents/Projects/kiteconnect_demarker/backtesting/data_st50/FEB24_DYNAMIC/FEB20/OTM/NIFTY26FEB25550PE_strategy.html", "View")</f>
        <v/>
      </c>
      <c r="AA101" t="inlineStr">
        <is>
          <t>NEUTRAL</t>
        </is>
      </c>
      <c r="AB101" t="inlineStr">
        <is>
          <t>INCLUDED</t>
        </is>
      </c>
      <c r="AC101" t="n">
        <v>-8.15</v>
      </c>
      <c r="AD101" t="inlineStr">
        <is>
          <t>SuperTrend Stop Loss Exit</t>
        </is>
      </c>
      <c r="AE101" t="n">
        <v>-8.15</v>
      </c>
      <c r="AF101" t="n">
        <v>5.58</v>
      </c>
      <c r="AG101" t="n">
        <v>-7.08</v>
      </c>
      <c r="AH101" t="n">
        <v>0</v>
      </c>
    </row>
    <row r="102">
      <c r="A102" s="2">
        <f>HYPERLINK("file:///C:/Users/Hemant/OneDrive/Documents/Projects/kiteconnect_demarker/backtesting/data_st50/FEB24_DYNAMIC/FEB23/OTM/NIFTY26FEB25750CE_strategy.csv", "NIFTY26FEB25750CE")</f>
        <v/>
      </c>
      <c r="B102" t="n">
        <v>87.89</v>
      </c>
      <c r="C102" t="n">
        <v>-1</v>
      </c>
      <c r="D102" t="n">
        <v>48.08</v>
      </c>
      <c r="E102" t="n">
        <v>37.89</v>
      </c>
      <c r="F102" t="n">
        <v>-46.45</v>
      </c>
      <c r="G102" t="n">
        <v>-79.06</v>
      </c>
      <c r="H102" t="n">
        <v>77.73999999999999</v>
      </c>
      <c r="I102" t="n">
        <v>79.09999999999999</v>
      </c>
      <c r="J102" t="inlineStr">
        <is>
          <t>2026-02-23</t>
        </is>
      </c>
      <c r="K102" t="inlineStr">
        <is>
          <t>BEARISH</t>
        </is>
      </c>
      <c r="L102" t="inlineStr">
        <is>
          <t>BULLISH</t>
        </is>
      </c>
      <c r="M102" t="inlineStr">
        <is>
          <t>CE</t>
        </is>
      </c>
      <c r="N102" t="inlineStr">
        <is>
          <t>10:36:01</t>
        </is>
      </c>
      <c r="O102" t="inlineStr">
        <is>
          <t>10:37:00</t>
        </is>
      </c>
      <c r="P102" t="n">
        <v>79.65000000000001</v>
      </c>
      <c r="Q102" t="n">
        <v>72.08</v>
      </c>
      <c r="R102" t="n">
        <v>67080.2</v>
      </c>
      <c r="S102" t="n">
        <v>100000</v>
      </c>
      <c r="T102" t="n">
        <v>70000</v>
      </c>
      <c r="U102" t="inlineStr">
        <is>
          <t>EXECUTED</t>
        </is>
      </c>
      <c r="V102" t="n">
        <v>-100</v>
      </c>
      <c r="W102" t="n">
        <v>-111.5881983678594</v>
      </c>
      <c r="X102" s="2">
        <f>HYPERLINK("file:///C:/Users/Hemant/OneDrive/Documents/Projects/kiteconnect_demarker/backtesting/data_st50/FEB24_DYNAMIC/FEB23/OTM/NIFTY26FEB25750CE_strategy.html", "View")</f>
        <v/>
      </c>
      <c r="AA102" t="inlineStr">
        <is>
          <t>BULLISH</t>
        </is>
      </c>
      <c r="AB102" t="inlineStr">
        <is>
          <t>INCLUDED (HYBRID_NEUTRAL_ZONE)</t>
        </is>
      </c>
      <c r="AC102" t="n">
        <v>-9.5</v>
      </c>
      <c r="AD102" t="inlineStr">
        <is>
          <t>Fixed Stop Loss</t>
        </is>
      </c>
      <c r="AE102" t="n">
        <v>-9.5</v>
      </c>
      <c r="AF102" t="n">
        <v>0</v>
      </c>
      <c r="AG102" t="n">
        <v>-9.23</v>
      </c>
      <c r="AH102" t="n">
        <v>0</v>
      </c>
    </row>
    <row r="103">
      <c r="A103" s="2">
        <f>HYPERLINK("file:///C:/Users/Hemant/OneDrive/Documents/Projects/kiteconnect_demarker/backtesting/data_st50/FEB24_DYNAMIC/FEB23/OTM/NIFTY26FEB25750CE_strategy.csv", "NIFTY26FEB25750CE")</f>
        <v/>
      </c>
      <c r="B103" t="n">
        <v>97.5</v>
      </c>
      <c r="C103" t="n">
        <v>-1</v>
      </c>
      <c r="D103" t="n">
        <v>68.20999999999999</v>
      </c>
      <c r="E103" t="n">
        <v>48.43</v>
      </c>
      <c r="F103" t="n">
        <v>-12.42</v>
      </c>
      <c r="G103" t="n">
        <v>-51.67</v>
      </c>
      <c r="H103" t="n">
        <v>88.04000000000001</v>
      </c>
      <c r="I103" t="n">
        <v>88.92</v>
      </c>
      <c r="J103" t="inlineStr">
        <is>
          <t>2026-02-23</t>
        </is>
      </c>
      <c r="K103" t="inlineStr">
        <is>
          <t>BEARISH</t>
        </is>
      </c>
      <c r="L103" t="inlineStr">
        <is>
          <t>BULLISH</t>
        </is>
      </c>
      <c r="M103" t="inlineStr">
        <is>
          <t>CE</t>
        </is>
      </c>
      <c r="N103" t="inlineStr">
        <is>
          <t>10:17:01</t>
        </is>
      </c>
      <c r="O103" t="inlineStr">
        <is>
          <t>10:27:00</t>
        </is>
      </c>
      <c r="P103" t="n">
        <v>87.7</v>
      </c>
      <c r="Q103" t="n">
        <v>79.37</v>
      </c>
      <c r="R103" t="n">
        <v>74121.75999999999</v>
      </c>
      <c r="S103" t="n">
        <v>100000</v>
      </c>
      <c r="T103" t="n">
        <v>70000</v>
      </c>
      <c r="U103" t="inlineStr">
        <is>
          <t>EXECUTED</t>
        </is>
      </c>
      <c r="V103" t="n">
        <v>-89.60091220068415</v>
      </c>
      <c r="W103" t="n">
        <v>-110.7867730900798</v>
      </c>
      <c r="X103" s="2">
        <f>HYPERLINK("file:///C:/Users/Hemant/OneDrive/Documents/Projects/kiteconnect_demarker/backtesting/data_st50/FEB24_DYNAMIC/FEB23/OTM/NIFTY26FEB25750CE_strategy.html", "View")</f>
        <v/>
      </c>
      <c r="AA103" t="inlineStr">
        <is>
          <t>BEARISH</t>
        </is>
      </c>
      <c r="AB103" t="inlineStr">
        <is>
          <t>INCLUDED (HYBRID_NEUTRAL_ZONE)</t>
        </is>
      </c>
      <c r="AC103" t="n">
        <v>-9.5</v>
      </c>
      <c r="AD103" t="inlineStr">
        <is>
          <t>Fixed Stop Loss</t>
        </is>
      </c>
      <c r="AE103" t="n">
        <v>-9.5</v>
      </c>
      <c r="AF103" t="n">
        <v>9.119999999999999</v>
      </c>
      <c r="AG103" t="n">
        <v>-9.460000000000001</v>
      </c>
      <c r="AH103" t="n">
        <v>0</v>
      </c>
    </row>
    <row r="104">
      <c r="A104" s="2">
        <f>HYPERLINK("file:///C:/Users/Hemant/OneDrive/Documents/Projects/kiteconnect_demarker/backtesting/data_st50/FEB24_DYNAMIC/FEB23/OTM/NIFTY26FEB25750CE_strategy.csv", "NIFTY26FEB25750CE")</f>
        <v/>
      </c>
      <c r="B104" t="n">
        <v>105.68</v>
      </c>
      <c r="C104" t="n">
        <v>-1</v>
      </c>
      <c r="D104" t="n">
        <v>38.15</v>
      </c>
      <c r="E104" t="n">
        <v>30.12</v>
      </c>
      <c r="F104" t="n">
        <v>-88</v>
      </c>
      <c r="G104" t="n">
        <v>-92.19</v>
      </c>
      <c r="H104" t="n">
        <v>92.90000000000001</v>
      </c>
      <c r="I104" t="n">
        <v>92.90000000000001</v>
      </c>
      <c r="J104" t="inlineStr">
        <is>
          <t>2026-02-23</t>
        </is>
      </c>
      <c r="K104" t="inlineStr">
        <is>
          <t>BEARISH</t>
        </is>
      </c>
      <c r="L104" t="inlineStr">
        <is>
          <t>BULLISH</t>
        </is>
      </c>
      <c r="M104" t="inlineStr">
        <is>
          <t>CE</t>
        </is>
      </c>
      <c r="N104" t="inlineStr">
        <is>
          <t>10:11:01</t>
        </is>
      </c>
      <c r="O104" t="inlineStr">
        <is>
          <t>10:13:00</t>
        </is>
      </c>
      <c r="P104" t="n">
        <v>91.05</v>
      </c>
      <c r="Q104" t="n">
        <v>82.40000000000001</v>
      </c>
      <c r="R104" t="n">
        <v>81902.5</v>
      </c>
      <c r="S104" t="n">
        <v>100000</v>
      </c>
      <c r="T104" t="n">
        <v>70000</v>
      </c>
      <c r="U104" t="inlineStr">
        <is>
          <t>EXECUTED</t>
        </is>
      </c>
      <c r="V104" t="n">
        <v>-100</v>
      </c>
      <c r="W104" t="n">
        <v>-104.7007138934651</v>
      </c>
      <c r="X104" s="2">
        <f>HYPERLINK("file:///C:/Users/Hemant/OneDrive/Documents/Projects/kiteconnect_demarker/backtesting/data_st50/FEB24_DYNAMIC/FEB23/OTM/NIFTY26FEB25750CE_strategy.html", "View")</f>
        <v/>
      </c>
      <c r="AA104" t="inlineStr">
        <is>
          <t>BEARISH</t>
        </is>
      </c>
      <c r="AB104" t="inlineStr">
        <is>
          <t>INCLUDED (HYBRID_NEUTRAL_ZONE)</t>
        </is>
      </c>
      <c r="AC104" t="n">
        <v>-9.5</v>
      </c>
      <c r="AD104" t="inlineStr">
        <is>
          <t>Fixed Stop Loss</t>
        </is>
      </c>
      <c r="AE104" t="n">
        <v>-9.5</v>
      </c>
      <c r="AF104" t="n">
        <v>0</v>
      </c>
      <c r="AG104" t="n">
        <v>-4.28</v>
      </c>
      <c r="AH104" t="n">
        <v>0</v>
      </c>
    </row>
    <row r="105">
      <c r="A105" s="2">
        <f>HYPERLINK("file:///C:/Users/Hemant/OneDrive/Documents/Projects/kiteconnect_demarker/backtesting/data_st50/FEB24_DYNAMIC/FEB23/OTM/NIFTY26FEB25750CE_strategy.csv", "NIFTY26FEB25750CE")</f>
        <v/>
      </c>
      <c r="B105" t="n">
        <v>108.39</v>
      </c>
      <c r="C105" t="n">
        <v>-1</v>
      </c>
      <c r="D105" t="n">
        <v>44.9</v>
      </c>
      <c r="E105" t="n">
        <v>31.86</v>
      </c>
      <c r="F105" t="n">
        <v>-59.15</v>
      </c>
      <c r="G105" t="n">
        <v>-72.31</v>
      </c>
      <c r="H105" t="n">
        <v>98.98999999999999</v>
      </c>
      <c r="I105" t="n">
        <v>98.98</v>
      </c>
      <c r="J105" t="inlineStr">
        <is>
          <t>2026-02-23</t>
        </is>
      </c>
      <c r="K105" t="inlineStr">
        <is>
          <t>BEARISH</t>
        </is>
      </c>
      <c r="L105" t="inlineStr">
        <is>
          <t>BULLISH</t>
        </is>
      </c>
      <c r="M105" t="inlineStr">
        <is>
          <t>CE</t>
        </is>
      </c>
      <c r="N105" t="inlineStr">
        <is>
          <t>09:57:01</t>
        </is>
      </c>
      <c r="O105" t="inlineStr">
        <is>
          <t>10:01:00</t>
        </is>
      </c>
      <c r="P105" t="n">
        <v>100.1</v>
      </c>
      <c r="Q105" t="n">
        <v>90.59</v>
      </c>
      <c r="R105" t="n">
        <v>90500</v>
      </c>
      <c r="S105" t="n">
        <v>100000</v>
      </c>
      <c r="T105" t="n">
        <v>70000</v>
      </c>
      <c r="U105" t="inlineStr">
        <is>
          <t>EXECUTED</t>
        </is>
      </c>
      <c r="V105" t="n">
        <v>-100</v>
      </c>
      <c r="W105" t="n">
        <v>-113.1768231768232</v>
      </c>
      <c r="X105" s="2">
        <f>HYPERLINK("file:///C:/Users/Hemant/OneDrive/Documents/Projects/kiteconnect_demarker/backtesting/data_st50/FEB24_DYNAMIC/FEB23/OTM/NIFTY26FEB25750CE_strategy.html", "View")</f>
        <v/>
      </c>
      <c r="AA105" t="inlineStr">
        <is>
          <t>BEARISH</t>
        </is>
      </c>
      <c r="AB105" t="inlineStr">
        <is>
          <t>INCLUDED (HYBRID_NEUTRAL_ZONE)</t>
        </is>
      </c>
      <c r="AC105" t="n">
        <v>-9.5</v>
      </c>
      <c r="AD105" t="inlineStr">
        <is>
          <t>Fixed Stop Loss</t>
        </is>
      </c>
      <c r="AE105" t="n">
        <v>-9.5</v>
      </c>
      <c r="AF105" t="n">
        <v>0</v>
      </c>
      <c r="AG105" t="n">
        <v>-13.19</v>
      </c>
      <c r="AH105" t="n">
        <v>0</v>
      </c>
    </row>
    <row r="106">
      <c r="A106" s="2">
        <f>HYPERLINK("file:///C:/Users/Hemant/OneDrive/Documents/Projects/kiteconnect_demarker/backtesting/data_st50/MAR02_DYNAMIC/FEB26/OTM/NIFTY2630225400PE_strategy.csv", "NIFTY2630225400PE")</f>
        <v/>
      </c>
      <c r="B106" t="n">
        <v>114.69</v>
      </c>
      <c r="C106" t="n">
        <v>-1</v>
      </c>
      <c r="D106" t="n">
        <v>72.87</v>
      </c>
      <c r="E106" t="n">
        <v>48.81</v>
      </c>
      <c r="F106" t="n">
        <v>-14.41</v>
      </c>
      <c r="G106" t="n">
        <v>-39.05</v>
      </c>
      <c r="H106" t="n">
        <v>107.47</v>
      </c>
      <c r="I106" t="n">
        <v>107.63</v>
      </c>
      <c r="J106" t="inlineStr">
        <is>
          <t>2026-02-26</t>
        </is>
      </c>
      <c r="K106" t="inlineStr">
        <is>
          <t>BEARISH</t>
        </is>
      </c>
      <c r="L106" t="inlineStr">
        <is>
          <t>BEARISH</t>
        </is>
      </c>
      <c r="M106" t="inlineStr">
        <is>
          <t>PE</t>
        </is>
      </c>
      <c r="N106" t="inlineStr">
        <is>
          <t>13:47:01</t>
        </is>
      </c>
      <c r="O106" t="inlineStr">
        <is>
          <t>13:54:00</t>
        </is>
      </c>
      <c r="P106" t="n">
        <v>110.4</v>
      </c>
      <c r="Q106" t="n">
        <v>99.91</v>
      </c>
      <c r="R106" t="n">
        <v>139616.73</v>
      </c>
      <c r="S106" t="n">
        <v>154272.62</v>
      </c>
      <c r="T106" t="n">
        <v>107990.84</v>
      </c>
      <c r="U106" t="inlineStr">
        <is>
          <t>EXECUTED</t>
        </is>
      </c>
      <c r="V106" t="n">
        <v>-96.43115942028986</v>
      </c>
      <c r="W106" t="n">
        <v>-106.195652173913</v>
      </c>
      <c r="X106" s="2">
        <f>HYPERLINK("file:///C:/Users/Hemant/OneDrive/Documents/Projects/kiteconnect_demarker/backtesting/data_st50/MAR02_DYNAMIC/FEB26/OTM/NIFTY2630225400PE_strategy.html", "View")</f>
        <v/>
      </c>
      <c r="AA106" t="inlineStr">
        <is>
          <t>BEARISH</t>
        </is>
      </c>
      <c r="AB106" t="inlineStr">
        <is>
          <t>INCLUDED (HYBRID_NEUTRAL_ZONE)</t>
        </is>
      </c>
      <c r="AC106" t="n">
        <v>-9.5</v>
      </c>
      <c r="AD106" t="inlineStr">
        <is>
          <t>Fixed Stop Loss</t>
        </is>
      </c>
      <c r="AE106" t="n">
        <v>-9.5</v>
      </c>
      <c r="AF106" t="n">
        <v>3.94</v>
      </c>
      <c r="AG106" t="n">
        <v>-6.84</v>
      </c>
      <c r="AH106" t="n">
        <v>0</v>
      </c>
    </row>
    <row r="107">
      <c r="A107" s="2">
        <f>HYPERLINK("file:///C:/Users/Hemant/OneDrive/Documents/Projects/kiteconnect_demarker/backtesting/data_st50/MAR02_DYNAMIC/FEB26/OTM/NIFTY2630225500PE_strategy.csv", "NIFTY2630225500PE")</f>
        <v/>
      </c>
      <c r="B107" t="n">
        <v>113.98</v>
      </c>
      <c r="C107" t="n">
        <v>-1</v>
      </c>
      <c r="D107" t="n">
        <v>31.36</v>
      </c>
      <c r="E107" t="n">
        <v>23.98</v>
      </c>
      <c r="F107" t="n">
        <v>-99.33</v>
      </c>
      <c r="G107" t="n">
        <v>-87.95</v>
      </c>
      <c r="H107" t="n">
        <v>102.55</v>
      </c>
      <c r="I107" t="n">
        <v>105.42</v>
      </c>
      <c r="J107" t="inlineStr">
        <is>
          <t>2026-02-26</t>
        </is>
      </c>
      <c r="K107" t="inlineStr">
        <is>
          <t>BULLISH</t>
        </is>
      </c>
      <c r="L107" t="inlineStr">
        <is>
          <t>BULLISH</t>
        </is>
      </c>
      <c r="M107" t="inlineStr">
        <is>
          <t>PE</t>
        </is>
      </c>
      <c r="N107" t="inlineStr">
        <is>
          <t>09:43:01</t>
        </is>
      </c>
      <c r="O107" t="inlineStr">
        <is>
          <t>09:45:00</t>
        </is>
      </c>
      <c r="P107" t="n">
        <v>98.75</v>
      </c>
      <c r="Q107" t="n">
        <v>89.37</v>
      </c>
      <c r="R107" t="n">
        <v>90500</v>
      </c>
      <c r="S107" t="n">
        <v>100000</v>
      </c>
      <c r="T107" t="n">
        <v>70000</v>
      </c>
      <c r="U107" t="inlineStr">
        <is>
          <t>EXECUTED</t>
        </is>
      </c>
      <c r="V107" t="n">
        <v>-100</v>
      </c>
      <c r="W107" t="n">
        <v>-106.926582278481</v>
      </c>
      <c r="X107" s="2">
        <f>HYPERLINK("file:///C:/Users/Hemant/OneDrive/Documents/Projects/kiteconnect_demarker/backtesting/data_st50/MAR02_DYNAMIC/FEB26/OTM/NIFTY2630225500PE_strategy.html", "View")</f>
        <v/>
      </c>
      <c r="AA107" t="inlineStr">
        <is>
          <t>BULLISH</t>
        </is>
      </c>
      <c r="AB107" t="inlineStr">
        <is>
          <t>INCLUDED (HYBRID_NEUTRAL_ZONE)</t>
        </is>
      </c>
      <c r="AC107" t="n">
        <v>-9.5</v>
      </c>
      <c r="AD107" t="inlineStr">
        <is>
          <t>Fixed Stop Loss</t>
        </is>
      </c>
      <c r="AE107" t="n">
        <v>-9.5</v>
      </c>
      <c r="AF107" t="n">
        <v>0</v>
      </c>
      <c r="AG107" t="n">
        <v>-6.84</v>
      </c>
      <c r="AH107" t="n">
        <v>0</v>
      </c>
    </row>
    <row r="108">
      <c r="A108" s="2">
        <f>HYPERLINK("file:///C:/Users/Hemant/OneDrive/Documents/Projects/kiteconnect_demarker/backtesting/data_st50/MAR02_DYNAMIC/FEB27/OTM/NIFTY2630225300PE_strategy.csv", "NIFTY2630225300PE")</f>
        <v/>
      </c>
      <c r="B108" t="n">
        <v>100.69</v>
      </c>
      <c r="C108" t="n">
        <v>-1</v>
      </c>
      <c r="D108" t="n">
        <v>45.93</v>
      </c>
      <c r="E108" t="n">
        <v>30.44</v>
      </c>
      <c r="F108" t="n">
        <v>-80.52</v>
      </c>
      <c r="G108" t="n">
        <v>-85.73999999999999</v>
      </c>
      <c r="H108" t="n">
        <v>94.02</v>
      </c>
      <c r="I108" t="n">
        <v>94.56999999999999</v>
      </c>
      <c r="J108" t="inlineStr">
        <is>
          <t>2026-02-27</t>
        </is>
      </c>
      <c r="K108" t="inlineStr">
        <is>
          <t>BEARISH</t>
        </is>
      </c>
      <c r="L108" t="inlineStr">
        <is>
          <t>BEARISH</t>
        </is>
      </c>
      <c r="M108" t="inlineStr">
        <is>
          <t>PE</t>
        </is>
      </c>
      <c r="N108" t="inlineStr">
        <is>
          <t>13:52:01</t>
        </is>
      </c>
      <c r="O108" t="inlineStr">
        <is>
          <t>13:55:00</t>
        </is>
      </c>
      <c r="P108" t="n">
        <v>94.15000000000001</v>
      </c>
      <c r="Q108" t="n">
        <v>85.20999999999999</v>
      </c>
      <c r="R108" t="n">
        <v>89975.63</v>
      </c>
      <c r="S108" t="n">
        <v>121388.95</v>
      </c>
      <c r="T108" t="n">
        <v>84972.25999999999</v>
      </c>
      <c r="U108" t="inlineStr">
        <is>
          <t>EXECUTED</t>
        </is>
      </c>
      <c r="V108" t="n">
        <v>-100</v>
      </c>
      <c r="W108" t="n">
        <v>-109.4742432288901</v>
      </c>
      <c r="X108" s="2">
        <f>HYPERLINK("file:///C:/Users/Hemant/OneDrive/Documents/Projects/kiteconnect_demarker/backtesting/data_st50/MAR02_DYNAMIC/FEB27/OTM/NIFTY2630225300PE_strategy.html", "View")</f>
        <v/>
      </c>
      <c r="AA108" t="inlineStr">
        <is>
          <t>NEUTRAL</t>
        </is>
      </c>
      <c r="AB108" t="inlineStr">
        <is>
          <t>INCLUDED</t>
        </is>
      </c>
      <c r="AC108" t="n">
        <v>-9.5</v>
      </c>
      <c r="AD108" t="inlineStr">
        <is>
          <t>Fixed Stop Loss</t>
        </is>
      </c>
      <c r="AE108" t="n">
        <v>-9.5</v>
      </c>
      <c r="AF108" t="n">
        <v>0</v>
      </c>
      <c r="AG108" t="n">
        <v>-8.92</v>
      </c>
      <c r="AH108" t="n">
        <v>0</v>
      </c>
    </row>
    <row r="109">
      <c r="A109" s="2">
        <f>HYPERLINK("file:///C:/Users/Hemant/OneDrive/Documents/Projects/kiteconnect_demarker/backtesting/data_st50/MAR02_DYNAMIC/FEB27/OTM/NIFTY2630225300PE_strategy.csv", "NIFTY2630225300PE")</f>
        <v/>
      </c>
      <c r="B109" t="n">
        <v>109.17</v>
      </c>
      <c r="C109" t="n">
        <v>-1</v>
      </c>
      <c r="D109" t="n">
        <v>48.44</v>
      </c>
      <c r="E109" t="n">
        <v>31.14</v>
      </c>
      <c r="F109" t="n">
        <v>-47.4</v>
      </c>
      <c r="G109" t="n">
        <v>-51.14</v>
      </c>
      <c r="H109" t="n">
        <v>101.92</v>
      </c>
      <c r="I109" t="n">
        <v>102.07</v>
      </c>
      <c r="J109" t="inlineStr">
        <is>
          <t>2026-02-27</t>
        </is>
      </c>
      <c r="K109" t="inlineStr">
        <is>
          <t>BEARISH</t>
        </is>
      </c>
      <c r="L109" t="inlineStr">
        <is>
          <t>BEARISH</t>
        </is>
      </c>
      <c r="M109" t="inlineStr">
        <is>
          <t>PE</t>
        </is>
      </c>
      <c r="N109" t="inlineStr">
        <is>
          <t>13:44:01</t>
        </is>
      </c>
      <c r="O109" t="inlineStr">
        <is>
          <t>13:48:00</t>
        </is>
      </c>
      <c r="P109" t="n">
        <v>98.15000000000001</v>
      </c>
      <c r="Q109" t="n">
        <v>88.83</v>
      </c>
      <c r="R109" t="n">
        <v>99420.58</v>
      </c>
      <c r="S109" t="n">
        <v>121388.95</v>
      </c>
      <c r="T109" t="n">
        <v>84972.25999999999</v>
      </c>
      <c r="U109" t="inlineStr">
        <is>
          <t>EXECUTED</t>
        </is>
      </c>
      <c r="V109" t="n">
        <v>-96.05705552725419</v>
      </c>
      <c r="W109" t="n">
        <v>-105.4508405501783</v>
      </c>
      <c r="X109" s="2">
        <f>HYPERLINK("file:///C:/Users/Hemant/OneDrive/Documents/Projects/kiteconnect_demarker/backtesting/data_st50/MAR02_DYNAMIC/FEB27/OTM/NIFTY2630225300PE_strategy.html", "View")</f>
        <v/>
      </c>
      <c r="AA109" t="inlineStr">
        <is>
          <t>BEARISH</t>
        </is>
      </c>
      <c r="AB109" t="inlineStr">
        <is>
          <t>INCLUDED (HYBRID_NEUTRAL_ZONE)</t>
        </is>
      </c>
      <c r="AC109" t="n">
        <v>-9.5</v>
      </c>
      <c r="AD109" t="inlineStr">
        <is>
          <t>Fixed Stop Loss</t>
        </is>
      </c>
      <c r="AE109" t="n">
        <v>-9.5</v>
      </c>
      <c r="AF109" t="n">
        <v>3.87</v>
      </c>
      <c r="AG109" t="n">
        <v>-5.35</v>
      </c>
      <c r="AH109" t="n">
        <v>0</v>
      </c>
    </row>
    <row r="110">
      <c r="A110" s="2">
        <f>HYPERLINK("file:///C:/Users/Hemant/OneDrive/Documents/Projects/kiteconnect_demarker/backtesting/data_st50/MAR02_DYNAMIC/FEB27/OTM/NIFTY2630225250PE_strategy.csv", "NIFTY2630225250PE")</f>
        <v/>
      </c>
      <c r="B110" t="n">
        <v>93.36</v>
      </c>
      <c r="C110" t="n">
        <v>-1</v>
      </c>
      <c r="D110" t="n">
        <v>38.14</v>
      </c>
      <c r="E110" t="n">
        <v>33</v>
      </c>
      <c r="F110" t="n">
        <v>-66.84</v>
      </c>
      <c r="G110" t="n">
        <v>-80.66</v>
      </c>
      <c r="H110" t="n">
        <v>85.81</v>
      </c>
      <c r="I110" t="n">
        <v>86.58</v>
      </c>
      <c r="J110" t="inlineStr">
        <is>
          <t>2026-02-27</t>
        </is>
      </c>
      <c r="K110" t="inlineStr">
        <is>
          <t>BEARISH</t>
        </is>
      </c>
      <c r="L110" t="inlineStr">
        <is>
          <t>BEARISH</t>
        </is>
      </c>
      <c r="M110" t="inlineStr">
        <is>
          <t>PE</t>
        </is>
      </c>
      <c r="N110" t="inlineStr">
        <is>
          <t>13:11:01</t>
        </is>
      </c>
      <c r="O110" t="inlineStr">
        <is>
          <t>13:41:00</t>
        </is>
      </c>
      <c r="P110" t="n">
        <v>85.5</v>
      </c>
      <c r="Q110" t="n">
        <v>77.38</v>
      </c>
      <c r="R110" t="n">
        <v>109857</v>
      </c>
      <c r="S110" t="n">
        <v>121388.95</v>
      </c>
      <c r="T110" t="n">
        <v>84972.25999999999</v>
      </c>
      <c r="U110" t="inlineStr">
        <is>
          <t>EXECUTED</t>
        </is>
      </c>
      <c r="V110" t="n">
        <v>-96.71345029239767</v>
      </c>
      <c r="W110" t="n">
        <v>-106.2222222222222</v>
      </c>
      <c r="X110" s="2">
        <f>HYPERLINK("file:///C:/Users/Hemant/OneDrive/Documents/Projects/kiteconnect_demarker/backtesting/data_st50/MAR02_DYNAMIC/FEB27/OTM/NIFTY2630225250PE_strategy.html", "View")</f>
        <v/>
      </c>
      <c r="AA110" t="inlineStr">
        <is>
          <t>BULLISH</t>
        </is>
      </c>
      <c r="AB110" t="inlineStr">
        <is>
          <t>INCLUDED (HYBRID_NEUTRAL_ZONE)</t>
        </is>
      </c>
      <c r="AC110" t="n">
        <v>-9.5</v>
      </c>
      <c r="AD110" t="inlineStr">
        <is>
          <t>Fixed Stop Loss</t>
        </is>
      </c>
      <c r="AE110" t="n">
        <v>-9.5</v>
      </c>
      <c r="AF110" t="n">
        <v>2.81</v>
      </c>
      <c r="AG110" t="n">
        <v>-5.32</v>
      </c>
      <c r="AH110" t="n">
        <v>0</v>
      </c>
    </row>
    <row r="111">
      <c r="A111" s="2">
        <f>HYPERLINK("file:///C:/Users/Hemant/OneDrive/Documents/Projects/kiteconnect_demarker/backtesting/data_st50/MAR02_DYNAMIC/FEB27/OTM/NIFTY2630225350CE_strategy.csv", "NIFTY2630225350CE")</f>
        <v/>
      </c>
      <c r="B111" t="n">
        <v>109.37</v>
      </c>
      <c r="C111" t="n">
        <v>-1</v>
      </c>
      <c r="D111" t="n">
        <v>88.34</v>
      </c>
      <c r="E111" t="n">
        <v>82.36</v>
      </c>
      <c r="F111" t="n">
        <v>-27.38</v>
      </c>
      <c r="G111" t="n">
        <v>-65.79000000000001</v>
      </c>
      <c r="H111" t="n">
        <v>101.45</v>
      </c>
      <c r="I111" t="n">
        <v>101.98</v>
      </c>
      <c r="J111" t="inlineStr">
        <is>
          <t>2026-02-27</t>
        </is>
      </c>
      <c r="K111" t="inlineStr">
        <is>
          <t>BEARISH</t>
        </is>
      </c>
      <c r="L111" t="inlineStr">
        <is>
          <t>BEARISH</t>
        </is>
      </c>
      <c r="M111" t="inlineStr">
        <is>
          <t>CE</t>
        </is>
      </c>
      <c r="N111" t="inlineStr">
        <is>
          <t>10:11:01</t>
        </is>
      </c>
      <c r="O111" t="inlineStr">
        <is>
          <t>10:19:00</t>
        </is>
      </c>
      <c r="P111" t="n">
        <v>101.65</v>
      </c>
      <c r="Q111" t="n">
        <v>91.98999999999999</v>
      </c>
      <c r="R111" t="n">
        <v>90500</v>
      </c>
      <c r="S111" t="n">
        <v>100000</v>
      </c>
      <c r="T111" t="n">
        <v>70000</v>
      </c>
      <c r="U111" t="inlineStr">
        <is>
          <t>EXECUTED</t>
        </is>
      </c>
      <c r="V111" t="n">
        <v>-97.82587309394984</v>
      </c>
      <c r="W111" t="n">
        <v>-107.0142646335465</v>
      </c>
      <c r="X111" s="2">
        <f>HYPERLINK("file:///C:/Users/Hemant/OneDrive/Documents/Projects/kiteconnect_demarker/backtesting/data_st50/MAR02_DYNAMIC/FEB27/OTM/NIFTY2630225350CE_strategy.html", "View")</f>
        <v/>
      </c>
      <c r="AA111" t="inlineStr">
        <is>
          <t>NEUTRAL</t>
        </is>
      </c>
      <c r="AB111" t="inlineStr">
        <is>
          <t>INCLUDED</t>
        </is>
      </c>
      <c r="AC111" t="n">
        <v>-9.5</v>
      </c>
      <c r="AD111" t="inlineStr">
        <is>
          <t>Fixed Stop Loss</t>
        </is>
      </c>
      <c r="AE111" t="n">
        <v>-9.5</v>
      </c>
      <c r="AF111" t="n">
        <v>2.21</v>
      </c>
      <c r="AG111" t="n">
        <v>-7.13</v>
      </c>
      <c r="AH1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2026-03-14T06:25:48Z</dcterms:created>
  <dcterms:modified xsi:type="dcterms:W3CDTF">2026-03-14T06:25:48Z</dcterms:modified>
</cp:coreProperties>
</file>